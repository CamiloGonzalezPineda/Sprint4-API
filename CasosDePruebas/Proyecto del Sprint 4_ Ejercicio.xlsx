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uía del proyecto" sheetId="1" r:id="rId5"/>
    <sheet state="visible" name="UG-1 Casos de prueba" sheetId="2" r:id="rId6"/>
    <sheet state="visible" name="UG-1 Reportes de errores" sheetId="3" r:id="rId7"/>
    <sheet state="visible" name="UG-2 Casos de prueba" sheetId="4" r:id="rId8"/>
    <sheet state="visible" name="UG-2 Reportes de errores" sheetId="5" r:id="rId9"/>
    <sheet state="visible" name="UG-3 Casos de prueba" sheetId="6" r:id="rId10"/>
    <sheet state="visible" name="UG-3 Reportes de errores" sheetId="7" r:id="rId11"/>
    <sheet state="hidden" name="Listas" sheetId="8" r:id="rId12"/>
  </sheets>
  <definedNames>
    <definedName name="UG2_Operations">Listas!$I$2</definedName>
    <definedName name="HTTP_Method">Listas!$D$2:$D$6</definedName>
    <definedName name="SeveridadErrores">Listas!$F$2:$F$5</definedName>
    <definedName name="Bug_Status">Listas!$G$2:$G$8</definedName>
    <definedName name="UG3_Operations">Listas!$J$2:$J$6</definedName>
    <definedName name="UG1_Operations">Listas!$H$2</definedName>
    <definedName name="Severity_List">Listas!$F$2:$F$5</definedName>
    <definedName name="Design_Technique">Listas!$C$2:$C$7</definedName>
    <definedName name="TC_Status">Listas!$A$2:$A$4</definedName>
    <definedName name="Priority_List">Listas!$E$2:$E$5</definedName>
    <definedName name="EstadoCasosPrueba">Listas!$A$2:$A$4</definedName>
    <definedName name="Scenario_Type">Listas!$B$2:$B$3</definedName>
    <definedName hidden="1" localSheetId="0" name="_xlnm._FilterDatabase">'Guía del proyecto'!$A$10:$J$13</definedName>
    <definedName hidden="1" localSheetId="1" name="_xlnm._FilterDatabase">'UG-1 Casos de prueba'!$A$6:$H$56</definedName>
    <definedName hidden="1" localSheetId="2" name="_xlnm._FilterDatabase">'UG-1 Reportes de errores'!$A$5:$G$45</definedName>
    <definedName hidden="1" localSheetId="3" name="_xlnm._FilterDatabase">'UG-2 Casos de prueba'!$A$5:$H$55</definedName>
    <definedName hidden="1" localSheetId="4" name="_xlnm._FilterDatabase">'UG-2 Reportes de errores'!$A$5:$G$45</definedName>
    <definedName hidden="1" localSheetId="5" name="_xlnm._FilterDatabase">'UG-3 Casos de prueba'!$A$5:$H$55</definedName>
    <definedName hidden="1" localSheetId="6" name="_xlnm._FilterDatabase">'UG-3 Reportes de errores'!$A$5:$G$45</definedName>
  </definedNames>
  <calcPr/>
</workbook>
</file>

<file path=xl/sharedStrings.xml><?xml version="1.0" encoding="utf-8"?>
<sst xmlns="http://schemas.openxmlformats.org/spreadsheetml/2006/main" count="596" uniqueCount="487">
  <si>
    <t>Paquetes de productos · Casos de prueba</t>
  </si>
  <si>
    <t>Servicios de entrega · Casos de prueba</t>
  </si>
  <si>
    <t>Paquetes de productos · Reportes de errores</t>
  </si>
  <si>
    <t>UG-1 — Agregar productos a un paquete de productos</t>
  </si>
  <si>
    <t>UG-2 — Calcular el costo y el tiempo de entrega</t>
  </si>
  <si>
    <t>Proyecto de pruebas de API de Urban Grocers</t>
  </si>
  <si>
    <t>Diseñados</t>
  </si>
  <si>
    <t>REPORTES DE ERRORES</t>
  </si>
  <si>
    <t>Aprobados</t>
  </si>
  <si>
    <t>ID del bug</t>
  </si>
  <si>
    <t>Fallidos</t>
  </si>
  <si>
    <t>Título</t>
  </si>
  <si>
    <t>Pasos para reproducir</t>
  </si>
  <si>
    <t>Resultado esperado</t>
  </si>
  <si>
    <t>Resultado actual</t>
  </si>
  <si>
    <t>Severidad</t>
  </si>
  <si>
    <t>Evidencia</t>
  </si>
  <si>
    <t>Omitidos</t>
  </si>
  <si>
    <t>UG-1-BUG-01</t>
  </si>
  <si>
    <t>La API permite agregar un producto con un productId inexistente</t>
  </si>
  <si>
    <r>
      <rPr>
        <rFont val="Arial"/>
        <b/>
        <color rgb="FF000000"/>
        <sz val="10.0"/>
      </rPr>
      <t xml:space="preserve">Precondiciones:
</t>
    </r>
    <r>
      <rPr>
        <rFont val="Arial"/>
        <color rgb="FF000000"/>
        <sz val="10.0"/>
      </rPr>
      <t>- La API está disponible.
- Existe un grocery bundle creado previamente mediante</t>
    </r>
    <r>
      <rPr>
        <rFont val="Arial"/>
        <b/>
        <color rgb="FF000000"/>
        <sz val="10.0"/>
      </rPr>
      <t xml:space="preserve"> POST /api/v1/grocery-bundles.</t>
    </r>
    <r>
      <rPr>
        <rFont val="Arial"/>
        <color rgb="FF000000"/>
        <sz val="10.0"/>
      </rPr>
      <t xml:space="preserve">
- El bundle fue creado con groceryBundleName: "Paquete de prueba" y groceryCollectionId: 1.
- Se cuenta con un groceryBundleId válido.
- Se ha verificado que el productId 200 no existe.
</t>
    </r>
    <r>
      <rPr>
        <rFont val="Arial"/>
        <b/>
        <color rgb="FF000000"/>
        <sz val="10.0"/>
      </rPr>
      <t>Pasos:
1.</t>
    </r>
    <r>
      <rPr>
        <rFont val="Arial"/>
        <color rgb="FF000000"/>
        <sz val="10.0"/>
      </rPr>
      <t xml:space="preserve"> Enviar una solicitud </t>
    </r>
    <r>
      <rPr>
        <rFont val="Arial"/>
        <b/>
        <color rgb="FF000000"/>
        <sz val="10.0"/>
      </rPr>
      <t>POST al endpoint 
​/api​/v1​/grocery-bundles​/{groceryBundleId}​/products</t>
    </r>
    <r>
      <rPr>
        <rFont val="Arial"/>
        <color rgb="FF000000"/>
        <sz val="10.0"/>
      </rPr>
      <t xml:space="preserve">
En el body agregar  la siguiente extructura 
</t>
    </r>
    <r>
      <rPr>
        <rFont val="Arial"/>
        <b/>
        <color rgb="FF000000"/>
        <sz val="10.0"/>
      </rPr>
      <t>{
  "productsList": [
    {
      "productId": 200,
      "quantity": 1
    }
  ]
}</t>
    </r>
  </si>
  <si>
    <t>FLUJO DE TRABAJO DEL PROYECTO</t>
  </si>
  <si>
    <t xml:space="preserve">La API, da una respuesta de 400 Bad request </t>
  </si>
  <si>
    <t>ID</t>
  </si>
  <si>
    <t>La respuesta de la API, fue 200 ok y el producto se agrego correctamente</t>
  </si>
  <si>
    <t>HIGH</t>
  </si>
  <si>
    <t>Título del caso de prueba</t>
  </si>
  <si>
    <t>Precondición</t>
  </si>
  <si>
    <t>Paso</t>
  </si>
  <si>
    <t>https://drive.google.com/file/d/1YWhR-Q5NfBLCvGzIzyUZ7KvCg8KonNDP/view?usp=sharing</t>
  </si>
  <si>
    <t>Descripción del paso</t>
  </si>
  <si>
    <t>Estado</t>
  </si>
  <si>
    <t>UG-2-TC-01</t>
  </si>
  <si>
    <t>Calcular el costo y tiempo de entrega al realizar una solicitud con datos válidos</t>
  </si>
  <si>
    <t>UG-1-TC-01</t>
  </si>
  <si>
    <r>
      <rPr>
        <rFont val="Arial"/>
        <color rgb="FF000000"/>
        <sz val="12.0"/>
      </rPr>
      <t xml:space="preserve">La API de Urban Grocers se encuentra activa y disponible. La variable </t>
    </r>
    <r>
      <rPr>
        <rFont val="Arial"/>
        <b/>
        <color rgb="FF000000"/>
        <sz val="12.0"/>
      </rPr>
      <t>{{url-base}}</t>
    </r>
    <r>
      <rPr>
        <rFont val="Arial"/>
        <color rgb="FF000000"/>
        <sz val="12.0"/>
      </rPr>
      <t xml:space="preserve"> está creada y configurada con la </t>
    </r>
    <r>
      <rPr>
        <rFont val="Arial"/>
        <b/>
        <color rgb="FF000000"/>
        <sz val="12.0"/>
      </rPr>
      <t>URL https://urban-grocers-es.up.railway.app</t>
    </r>
  </si>
  <si>
    <t>Agregar un producto existente a un grocery bundle existente</t>
  </si>
  <si>
    <r>
      <rPr>
        <rFont val="Arial"/>
        <color rgb="FF000000"/>
        <sz val="11.0"/>
      </rPr>
      <t xml:space="preserve">Realizar una solicitud </t>
    </r>
    <r>
      <rPr>
        <rFont val="Arial"/>
        <b/>
        <color rgb="FF000000"/>
        <sz val="11.0"/>
      </rPr>
      <t>POST al endpoint /speedy/v1/calculate</t>
    </r>
    <r>
      <rPr>
        <rFont val="Arial"/>
        <color rgb="FF000000"/>
        <sz val="11.0"/>
      </rPr>
      <t xml:space="preserve">
en el Body agregar la siguiente estructura válida:
</t>
    </r>
    <r>
      <rPr>
        <rFont val="Arial"/>
        <b/>
        <color rgb="FF000000"/>
        <sz val="11.0"/>
      </rPr>
      <t xml:space="preserve">{
  "products": [
    {
      "productId": 3,
      "quantity": 1
    }
  ],
  "deliveryTime": 9
}
</t>
    </r>
  </si>
  <si>
    <r>
      <rPr>
        <rFont val="Arial"/>
        <color rgb="FF000000"/>
        <sz val="10.0"/>
      </rPr>
      <t xml:space="preserve">La API, devuelve un código de estado </t>
    </r>
    <r>
      <rPr>
        <rFont val="Arial"/>
        <b/>
        <color rgb="FF000000"/>
        <sz val="10.0"/>
      </rPr>
      <t>200 OK</t>
    </r>
    <r>
      <rPr>
        <rFont val="Arial"/>
        <color rgb="FF000000"/>
        <sz val="10.0"/>
      </rPr>
      <t xml:space="preserve"> calculando el costo y tiempo de entrega.</t>
    </r>
  </si>
  <si>
    <r>
      <rPr>
        <rFont val="Arial"/>
        <color rgb="FF000000"/>
        <sz val="10.0"/>
      </rPr>
      <t xml:space="preserve">La API está disponible.
Crear un grocery bundle mediante </t>
    </r>
    <r>
      <rPr>
        <rFont val="Arial"/>
        <b/>
        <color rgb="FF000000"/>
        <sz val="10.0"/>
      </rPr>
      <t>POST /api/v1/grocery-bundles</t>
    </r>
    <r>
      <rPr>
        <rFont val="Arial"/>
        <color rgb="FF000000"/>
        <sz val="10.0"/>
      </rPr>
      <t xml:space="preserve"> con el siguiente body:
</t>
    </r>
    <r>
      <rPr>
        <rFont val="Arial"/>
        <b/>
        <color rgb="FF000000"/>
        <sz val="10.0"/>
      </rPr>
      <t>{
  "groceryBundleName": "Paquete de prueba",
  "groceryCollectionId": 1
}</t>
    </r>
    <r>
      <rPr>
        <rFont val="Arial"/>
        <color rgb="FF000000"/>
        <sz val="10.0"/>
      </rPr>
      <t xml:space="preserve">
-Guardar el groceryBundleId generado por la API, ya que será utilizado en el caso de prueba.
-Se cuenta con un productId válido existente </t>
    </r>
    <r>
      <rPr>
        <rFont val="Arial"/>
        <b/>
        <color rgb="FF000000"/>
        <sz val="10.0"/>
      </rPr>
      <t>(3).</t>
    </r>
  </si>
  <si>
    <t>APROBADO</t>
  </si>
  <si>
    <r>
      <rPr>
        <rFont val="Arial"/>
        <color rgb="FF000000"/>
        <sz val="10.0"/>
      </rPr>
      <t xml:space="preserve">Enviar una solicitud </t>
    </r>
    <r>
      <rPr>
        <rFont val="Arial"/>
        <b/>
        <color rgb="FF000000"/>
        <sz val="10.0"/>
      </rPr>
      <t>POST al endpoint 
​/api​/v1​/grocery-bundles​/{groceryBundleId}​/products</t>
    </r>
    <r>
      <rPr>
        <rFont val="Arial"/>
        <color rgb="FF000000"/>
        <sz val="10.0"/>
      </rPr>
      <t xml:space="preserve">
y en el body agregar productos con la siguiente extructura 
</t>
    </r>
    <r>
      <rPr>
        <rFont val="Arial"/>
        <b/>
        <color rgb="FF000000"/>
        <sz val="10.0"/>
      </rPr>
      <t>{
  "productsList": [
    {
      "productId": 3,
      "quantity": 1
    }
  ]
}</t>
    </r>
  </si>
  <si>
    <t>El producto se agrega correctamente al grocery bundle y la API devuelve 200 OK.</t>
  </si>
  <si>
    <t>1</t>
  </si>
  <si>
    <t>UG-2-TC-02</t>
  </si>
  <si>
    <t>Calcular la entrega en el límite inferior del horario de servicio</t>
  </si>
  <si>
    <r>
      <rPr>
        <rFont val="Arial"/>
        <color rgb="FF000000"/>
        <sz val="12.0"/>
      </rPr>
      <t xml:space="preserve">La API de Urban Grocers se encuentra activa y disponible. La variable </t>
    </r>
    <r>
      <rPr>
        <rFont val="Arial"/>
        <b/>
        <color rgb="FF000000"/>
        <sz val="12.0"/>
      </rPr>
      <t>{{url-base}}</t>
    </r>
    <r>
      <rPr>
        <rFont val="Arial"/>
        <color rgb="FF000000"/>
        <sz val="12.0"/>
      </rPr>
      <t xml:space="preserve"> está creada y configurada con la </t>
    </r>
    <r>
      <rPr>
        <rFont val="Arial"/>
        <b/>
        <color rgb="FF000000"/>
        <sz val="12.0"/>
      </rPr>
      <t>URL https://urban-grocers-es.up.railway.app</t>
    </r>
  </si>
  <si>
    <r>
      <rPr>
        <rFont val="Arial"/>
        <color rgb="FF000000"/>
        <sz val="10.0"/>
      </rPr>
      <t xml:space="preserve">Realizar una solicitud </t>
    </r>
    <r>
      <rPr>
        <rFont val="Arial"/>
        <b/>
        <color rgb="FF000000"/>
        <sz val="10.0"/>
      </rPr>
      <t>POST al endpoint  /speedy/v1/calculate</t>
    </r>
    <r>
      <rPr>
        <rFont val="Arial"/>
        <color rgb="FF000000"/>
        <sz val="10.0"/>
      </rPr>
      <t xml:space="preserve">
en el Body agregar la siguiente estructura válida:
</t>
    </r>
    <r>
      <rPr>
        <rFont val="Arial"/>
        <b/>
        <color rgb="FF000000"/>
        <sz val="10.0"/>
      </rPr>
      <t xml:space="preserve">{
  "products": [
    {
      "productId": 3,
      "quantity": 1
    }
  ],
  "deliveryTime": 7
}
</t>
    </r>
  </si>
  <si>
    <t>La API, debe calcular correctamente el costo y tiempo de entrega.</t>
  </si>
  <si>
    <t>UG-2-TC-03</t>
  </si>
  <si>
    <t xml:space="preserve">Calcular la entrega antes del horario de servicio estipulado </t>
  </si>
  <si>
    <r>
      <rPr>
        <rFont val="Arial"/>
        <color rgb="FF000000"/>
        <sz val="12.0"/>
      </rPr>
      <t xml:space="preserve">La API de Urban Grocers se encuentra activa y disponible. La variable </t>
    </r>
    <r>
      <rPr>
        <rFont val="Arial"/>
        <b/>
        <color rgb="FF000000"/>
        <sz val="12.0"/>
      </rPr>
      <t>{{url-base}}</t>
    </r>
    <r>
      <rPr>
        <rFont val="Arial"/>
        <color rgb="FF000000"/>
        <sz val="12.0"/>
      </rPr>
      <t xml:space="preserve"> está creada y configurada con la </t>
    </r>
    <r>
      <rPr>
        <rFont val="Arial"/>
        <b/>
        <color rgb="FF000000"/>
        <sz val="12.0"/>
      </rPr>
      <t>URL https://urban-grocers-es.up.railway.app</t>
    </r>
  </si>
  <si>
    <t>Analiza el ticket de Jira y la documentación de Swagger.</t>
  </si>
  <si>
    <r>
      <rPr>
        <rFont val="Arial"/>
        <color rgb="FF000000"/>
        <sz val="11.0"/>
      </rPr>
      <t xml:space="preserve">Realizar una solicitud </t>
    </r>
    <r>
      <rPr>
        <rFont val="Arial"/>
        <b/>
        <color rgb="FF000000"/>
        <sz val="11.0"/>
      </rPr>
      <t>POST al endpoint  /speedy/v1/calculate</t>
    </r>
    <r>
      <rPr>
        <rFont val="Arial"/>
        <color rgb="FF000000"/>
        <sz val="11.0"/>
      </rPr>
      <t xml:space="preserve">
en el Body agregar la siguiente estructura válida:
</t>
    </r>
    <r>
      <rPr>
        <rFont val="Arial"/>
        <b/>
        <color rgb="FF000000"/>
        <sz val="11.0"/>
      </rPr>
      <t xml:space="preserve">{
  "products": [
    {
      "productId": 3,
      "quantity": 1
    }
  ],
  "deliveryTime": 6
}
</t>
    </r>
  </si>
  <si>
    <r>
      <rPr>
        <rFont val="Arial"/>
        <color rgb="FF000000"/>
        <sz val="11.0"/>
      </rPr>
      <t xml:space="preserve">La API, debe indicar que la entrega no es posible debido a que el horario </t>
    </r>
    <r>
      <rPr>
        <rFont val="Arial"/>
        <b/>
        <color rgb="FF000000"/>
        <sz val="11.0"/>
      </rPr>
      <t xml:space="preserve">6 </t>
    </r>
    <r>
      <rPr>
        <rFont val="Arial"/>
        <color rgb="FF000000"/>
        <sz val="11.0"/>
      </rPr>
      <t>está fuera del horario de servicio.</t>
    </r>
  </si>
  <si>
    <t>FALLIDO</t>
  </si>
  <si>
    <t>UG-2-BUG-01</t>
  </si>
  <si>
    <t>UG-1-BUG-02</t>
  </si>
  <si>
    <r>
      <rPr>
        <rFont val="Calibri"/>
        <color rgb="FF000000"/>
      </rPr>
      <t xml:space="preserve">La API devuelve </t>
    </r>
    <r>
      <rPr>
        <rFont val="Calibri"/>
        <b/>
        <color rgb="FF000000"/>
      </rPr>
      <t>500</t>
    </r>
    <r>
      <rPr>
        <rFont val="Calibri"/>
        <color rgb="FF000000"/>
      </rPr>
      <t xml:space="preserve"> al enviar un productsList con estructura inválida</t>
    </r>
  </si>
  <si>
    <t>UG-1-TC-02</t>
  </si>
  <si>
    <t>UG-2-TC-04</t>
  </si>
  <si>
    <t xml:space="preserve">Calcular la entrega en el límite superior del horario de servicio estipulado </t>
  </si>
  <si>
    <t>Agregar 31 productos con IDs únicos a un grocery bundle existente</t>
  </si>
  <si>
    <r>
      <rPr>
        <rFont val="Arial"/>
        <b/>
        <color rgb="FF000000"/>
        <sz val="10.0"/>
      </rPr>
      <t xml:space="preserve">Precondiciones:
</t>
    </r>
    <r>
      <rPr>
        <rFont val="Arial"/>
        <color rgb="FF000000"/>
        <sz val="10.0"/>
      </rPr>
      <t xml:space="preserve">La API está disponible.
Crear un grocery bundle mediante </t>
    </r>
    <r>
      <rPr>
        <rFont val="Arial"/>
        <b/>
        <color rgb="FF000000"/>
        <sz val="10.0"/>
      </rPr>
      <t>POST /api/v1/grocery-bundles</t>
    </r>
    <r>
      <rPr>
        <rFont val="Arial"/>
        <color rgb="FF000000"/>
        <sz val="10.0"/>
      </rPr>
      <t xml:space="preserve"> con el siguiente body:
</t>
    </r>
    <r>
      <rPr>
        <rFont val="Arial"/>
        <b/>
        <color rgb="FF000000"/>
        <sz val="10.0"/>
      </rPr>
      <t>{
  "groceryBundleName": "Paquete de prueba",
  "groceryCollectionId": 1
}</t>
    </r>
    <r>
      <rPr>
        <rFont val="Arial"/>
        <color rgb="FF000000"/>
        <sz val="10.0"/>
      </rPr>
      <t xml:space="preserve">
Guardar el groceryBundleId generado por la API, ya que será utilizado en el caso de prueba.
</t>
    </r>
    <r>
      <rPr>
        <rFont val="Arial"/>
        <b/>
        <color rgb="FF000000"/>
        <sz val="10.0"/>
      </rPr>
      <t>Pasos:
1.</t>
    </r>
    <r>
      <rPr>
        <rFont val="Arial"/>
        <color rgb="FF000000"/>
        <sz val="10.0"/>
      </rPr>
      <t xml:space="preserve"> Enviar una solicitud </t>
    </r>
    <r>
      <rPr>
        <rFont val="Arial"/>
        <b/>
        <color rgb="FF000000"/>
        <sz val="10.0"/>
      </rPr>
      <t>POST al endpoint 
​/api​/v1​/grocery-bundles​/{groceryBundleId}​/products</t>
    </r>
    <r>
      <rPr>
        <rFont val="Arial"/>
        <color rgb="FF000000"/>
        <sz val="10.0"/>
      </rPr>
      <t xml:space="preserve">
En el body agregar  la siguiente estructura:
</t>
    </r>
    <r>
      <rPr>
        <rFont val="Arial"/>
        <b/>
        <color rgb="FF000000"/>
        <sz val="10.0"/>
      </rPr>
      <t>{
  "productsList": "productos"
}</t>
    </r>
  </si>
  <si>
    <r>
      <rPr>
        <rFont val="Arial"/>
        <color rgb="FF000000"/>
        <sz val="12.0"/>
      </rPr>
      <t xml:space="preserve">La API de Urban Grocers se encuentra activa y disponible. La variable </t>
    </r>
    <r>
      <rPr>
        <rFont val="Arial"/>
        <b/>
        <color rgb="FF000000"/>
        <sz val="12.0"/>
      </rPr>
      <t>{{url-base}}</t>
    </r>
    <r>
      <rPr>
        <rFont val="Arial"/>
        <color rgb="FF000000"/>
        <sz val="12.0"/>
      </rPr>
      <t xml:space="preserve"> está creada y configurada con la </t>
    </r>
    <r>
      <rPr>
        <rFont val="Arial"/>
        <b/>
        <color rgb="FF000000"/>
        <sz val="12.0"/>
      </rPr>
      <t>URL https://urban-grocers-es.up.railway.app</t>
    </r>
  </si>
  <si>
    <t>La API, responde 400 Bad Request.</t>
  </si>
  <si>
    <t>La respuesta de la API, es 500 con un mensaje de "productsList.map is not a function"</t>
  </si>
  <si>
    <r>
      <rPr>
        <rFont val="Arial"/>
        <color rgb="FF000000"/>
        <sz val="11.0"/>
      </rPr>
      <t xml:space="preserve">Realizar una solicitud </t>
    </r>
    <r>
      <rPr>
        <rFont val="Arial"/>
        <b/>
        <color rgb="FF000000"/>
        <sz val="11.0"/>
      </rPr>
      <t>POST al endpoint  /speedy/v1/calculate</t>
    </r>
    <r>
      <rPr>
        <rFont val="Arial"/>
        <color rgb="FF000000"/>
        <sz val="11.0"/>
      </rPr>
      <t xml:space="preserve">
en el Body agregar la siguiente estructura válida:
</t>
    </r>
    <r>
      <rPr>
        <rFont val="Arial"/>
        <b/>
        <color rgb="FF000000"/>
        <sz val="11.0"/>
      </rPr>
      <t xml:space="preserve">{
  "products": [
    {
      "productId": 3,
      "quantity": 1
    }
  ],
  "deliveryTime": 21
}
</t>
    </r>
  </si>
  <si>
    <t>MEDIUM</t>
  </si>
  <si>
    <r>
      <rPr>
        <rFont val="Arial"/>
        <color rgb="FF000000"/>
        <sz val="11.0"/>
      </rPr>
      <t xml:space="preserve">-La API está disponible.
-Crear un grocery bundle válido y vacío mediante </t>
    </r>
    <r>
      <rPr>
        <rFont val="Arial"/>
        <b/>
        <color rgb="FF000000"/>
        <sz val="11.0"/>
      </rPr>
      <t xml:space="preserve">POST /api/v1/grocery-bundles </t>
    </r>
    <r>
      <rPr>
        <rFont val="Arial"/>
        <color rgb="FF000000"/>
        <sz val="11.0"/>
      </rPr>
      <t xml:space="preserve">con el siguiente body:
</t>
    </r>
    <r>
      <rPr>
        <rFont val="Arial"/>
        <b/>
        <color rgb="FF000000"/>
        <sz val="11.0"/>
      </rPr>
      <t>{
  "groceryBundleName": "Paquete de prueba",
  "groceryCollectionId": 1
}</t>
    </r>
    <r>
      <rPr>
        <rFont val="Arial"/>
        <color rgb="FF000000"/>
        <sz val="11.0"/>
      </rPr>
      <t xml:space="preserve">
-Guardar el groceryBundleId generado por la API, ya que será utilizado en el caso de prueba.
</t>
    </r>
  </si>
  <si>
    <t>La API, debe calcular correctamente el costo y tiempo de entrega</t>
  </si>
  <si>
    <t>https://drive.google.com/file/d/13h7vgUz720W_StTC0sz9b_79yh0MEFSt/view?usp=sharing</t>
  </si>
  <si>
    <t>2</t>
  </si>
  <si>
    <r>
      <rPr>
        <rFont val="Arial"/>
        <color rgb="FF000000"/>
        <sz val="10.0"/>
      </rPr>
      <t xml:space="preserve">Enviar una solicitud </t>
    </r>
    <r>
      <rPr>
        <rFont val="Arial"/>
        <b/>
        <color rgb="FF000000"/>
        <sz val="10.0"/>
      </rPr>
      <t>POST al endpoint /api/v1/grocery-bundles/{groceryBundleId}/products</t>
    </r>
    <r>
      <rPr>
        <rFont val="Arial"/>
        <color rgb="FF000000"/>
        <sz val="10.0"/>
      </rPr>
      <t xml:space="preserve"> con 31 productos cuyos</t>
    </r>
    <r>
      <rPr>
        <rFont val="Arial"/>
        <b/>
        <color rgb="FF000000"/>
        <sz val="10.0"/>
      </rPr>
      <t xml:space="preserve"> IDs </t>
    </r>
    <r>
      <rPr>
        <rFont val="Arial"/>
        <color rgb="FF000000"/>
        <sz val="10.0"/>
      </rPr>
      <t>sean único.
En el body agregar los</t>
    </r>
    <r>
      <rPr>
        <rFont val="Arial"/>
        <b/>
        <color rgb="FF000000"/>
        <sz val="10.0"/>
      </rPr>
      <t xml:space="preserve"> 31</t>
    </r>
    <r>
      <rPr>
        <rFont val="Arial"/>
        <color rgb="FF000000"/>
        <sz val="10.0"/>
      </rPr>
      <t xml:space="preserve"> productos únicos y quantity = 1 para cada producto con esta estructura:
</t>
    </r>
    <r>
      <rPr>
        <rFont val="Arial"/>
        <b/>
        <color rgb="FF000000"/>
        <sz val="10.0"/>
      </rPr>
      <t>{
  "productsList": [
    { "productId": 1, "quantity": 1 },
    { "productId": 2, "quantity": 1 },
    { "productId": 3, "quantity": 1 },
    ...
    { "productId": 30, "quantity": 1 },
    { "productId": 31, "quantity": 1 }
  ]
}</t>
    </r>
  </si>
  <si>
    <t>La API devuelve 400 Bad Request con el mensaje "No más de 30 artículos por paquete".</t>
  </si>
  <si>
    <t>Diseña casos de prueba independientes que cubran escenarios positivos y negativos, clases de equivalencia y valores límite.</t>
  </si>
  <si>
    <t>UG-2-TC-05</t>
  </si>
  <si>
    <t xml:space="preserve">Calcular la entrega por encima del límite del horario de servicio estipulado </t>
  </si>
  <si>
    <r>
      <rPr>
        <rFont val="Arial"/>
        <color rgb="FF000000"/>
        <sz val="12.0"/>
      </rPr>
      <t xml:space="preserve">La API de Urban Grocers se encuentra activa y disponible. La variable </t>
    </r>
    <r>
      <rPr>
        <rFont val="Arial"/>
        <b/>
        <color rgb="FF000000"/>
        <sz val="12.0"/>
      </rPr>
      <t>{{url-base}}</t>
    </r>
    <r>
      <rPr>
        <rFont val="Arial"/>
        <color rgb="FF000000"/>
        <sz val="12.0"/>
      </rPr>
      <t xml:space="preserve"> está creada y configurada con la </t>
    </r>
    <r>
      <rPr>
        <rFont val="Arial"/>
        <b/>
        <color rgb="FF000000"/>
        <sz val="12.0"/>
      </rPr>
      <t>URL https://urban-grocers-es.up.railway.app</t>
    </r>
  </si>
  <si>
    <r>
      <rPr>
        <rFont val="Arial"/>
        <color rgb="FF000000"/>
        <sz val="11.0"/>
      </rPr>
      <t xml:space="preserve">Realizar una solicitud </t>
    </r>
    <r>
      <rPr>
        <rFont val="Arial"/>
        <b/>
        <color rgb="FF000000"/>
        <sz val="11.0"/>
      </rPr>
      <t>POST al endpoint  /speedy/v1/calculate</t>
    </r>
    <r>
      <rPr>
        <rFont val="Arial"/>
        <color rgb="FF000000"/>
        <sz val="11.0"/>
      </rPr>
      <t xml:space="preserve">
en el Body agregar la siguiente estructura válida:
</t>
    </r>
    <r>
      <rPr>
        <rFont val="Arial"/>
        <b/>
        <color rgb="FF000000"/>
        <sz val="11.0"/>
      </rPr>
      <t xml:space="preserve">{
  "products": [
    {
      "productId": 3,
      "quantity": 1
    }
  ],
  "deliveryTime": 22
}
</t>
    </r>
  </si>
  <si>
    <r>
      <rPr>
        <rFont val="Arial"/>
        <color rgb="FF000000"/>
        <sz val="11.0"/>
      </rPr>
      <t xml:space="preserve">La API, debe indicar que la entrega no es posible debido a que el horario </t>
    </r>
    <r>
      <rPr>
        <rFont val="Arial"/>
        <b/>
        <color rgb="FF000000"/>
        <sz val="11.0"/>
      </rPr>
      <t xml:space="preserve">22 </t>
    </r>
    <r>
      <rPr>
        <rFont val="Arial"/>
        <color rgb="FF000000"/>
        <sz val="11.0"/>
      </rPr>
      <t>está fuera del horario de servicio.</t>
    </r>
  </si>
  <si>
    <t>UG-1-TC-03</t>
  </si>
  <si>
    <t>Agregar un producto inexistente a un grocery bundle existente</t>
  </si>
  <si>
    <r>
      <rPr>
        <rFont val="Arial"/>
        <color rgb="FF000000"/>
        <sz val="11.0"/>
      </rPr>
      <t>- La API está disponible.
- Existe un grocery bundle creado previamente mediante</t>
    </r>
    <r>
      <rPr>
        <rFont val="Arial"/>
        <b/>
        <color rgb="FF000000"/>
        <sz val="11.0"/>
      </rPr>
      <t xml:space="preserve"> POST /api/v1/grocery-bundles</t>
    </r>
    <r>
      <rPr>
        <rFont val="Arial"/>
        <color rgb="FF000000"/>
        <sz val="11.0"/>
      </rPr>
      <t xml:space="preserve">.
- El bundle fue creado con </t>
    </r>
    <r>
      <rPr>
        <rFont val="Arial"/>
        <b/>
        <color rgb="FF000000"/>
        <sz val="11.0"/>
      </rPr>
      <t>groceryBundleName: "Paquete de prueba" y groceryCollectionId: 1</t>
    </r>
    <r>
      <rPr>
        <rFont val="Arial"/>
        <color rgb="FF000000"/>
        <sz val="11.0"/>
      </rPr>
      <t xml:space="preserve">.
- Se cuenta con un groceryBundleId válido.
- Se ha verificado que el productId </t>
    </r>
    <r>
      <rPr>
        <rFont val="Arial"/>
        <b/>
        <color rgb="FF000000"/>
        <sz val="11.0"/>
      </rPr>
      <t xml:space="preserve">200 </t>
    </r>
    <r>
      <rPr>
        <rFont val="Arial"/>
        <color rgb="FF000000"/>
        <sz val="11.0"/>
      </rPr>
      <t>no existe.</t>
    </r>
  </si>
  <si>
    <r>
      <rPr>
        <rFont val="Arial"/>
        <color rgb="FF000000"/>
        <sz val="10.0"/>
      </rPr>
      <t xml:space="preserve">Enviar una solicitud </t>
    </r>
    <r>
      <rPr>
        <rFont val="Arial"/>
        <b/>
        <color rgb="FF000000"/>
        <sz val="10.0"/>
      </rPr>
      <t>POST al endpoint 
​/api​/v1​/grocery-bundles​/{groceryBundleId}​/products</t>
    </r>
    <r>
      <rPr>
        <rFont val="Arial"/>
        <color rgb="FF000000"/>
        <sz val="10.0"/>
      </rPr>
      <t xml:space="preserve">
En el body agregar  la siguiente extructura 
</t>
    </r>
    <r>
      <rPr>
        <rFont val="Arial"/>
        <b/>
        <color rgb="FF000000"/>
        <sz val="10.0"/>
      </rPr>
      <t>{
  "productsList": [
    {
      "productId": 200,
      "quantity": 1
    }
  ]
}</t>
    </r>
  </si>
  <si>
    <t>UG-2-TC-06</t>
  </si>
  <si>
    <t>Validar que isItPossibleToDeliver sea false cuando la entrega no es posible</t>
  </si>
  <si>
    <t>3</t>
  </si>
  <si>
    <r>
      <rPr>
        <rFont val="Arial"/>
        <color rgb="FF000000"/>
        <sz val="12.0"/>
      </rPr>
      <t xml:space="preserve">La API de Urban Grocers se encuentra activa y disponible. La variable </t>
    </r>
    <r>
      <rPr>
        <rFont val="Arial"/>
        <b/>
        <color rgb="FF000000"/>
        <sz val="12.0"/>
      </rPr>
      <t>{{url-base}}</t>
    </r>
    <r>
      <rPr>
        <rFont val="Arial"/>
        <color rgb="FF000000"/>
        <sz val="12.0"/>
      </rPr>
      <t xml:space="preserve"> está creada y configurada con la </t>
    </r>
    <r>
      <rPr>
        <rFont val="Arial"/>
        <b/>
        <color rgb="FF000000"/>
        <sz val="12.0"/>
      </rPr>
      <t xml:space="preserve">URL </t>
    </r>
    <r>
      <rPr>
        <rFont val="Arial"/>
        <color rgb="FF000000"/>
        <sz val="12.0"/>
      </rPr>
      <t>https://urban-grocers-es.up.railway.app</t>
    </r>
  </si>
  <si>
    <t>Ejecuta cada caso de prueba en Postman y selecciona el estado Aprobado, Fallido u Omitido.</t>
  </si>
  <si>
    <r>
      <rPr>
        <rFont val="Arial"/>
        <color rgb="FF000000"/>
        <sz val="11.0"/>
      </rPr>
      <t xml:space="preserve">Realizar una solicitud </t>
    </r>
    <r>
      <rPr>
        <rFont val="Arial"/>
        <b/>
        <color rgb="FF000000"/>
        <sz val="11.0"/>
      </rPr>
      <t>POST al endpoint /speedy/v1/calculate</t>
    </r>
    <r>
      <rPr>
        <rFont val="Arial"/>
        <color rgb="FF000000"/>
        <sz val="11.0"/>
      </rPr>
      <t xml:space="preserve">
en el Body agregar la siguiente estructura válida:
</t>
    </r>
    <r>
      <rPr>
        <rFont val="Arial"/>
        <b/>
        <color rgb="FF000000"/>
        <sz val="11.0"/>
      </rPr>
      <t>{
  "products": [
    {
      "productId": 3,
      "quantity": 200
    }
  ],
  "deliveryTime": 9
}</t>
    </r>
  </si>
  <si>
    <r>
      <rPr>
        <rFont val="Arial"/>
        <color rgb="FF000000"/>
        <sz val="11.0"/>
      </rPr>
      <t>La API devuelve</t>
    </r>
    <r>
      <rPr>
        <rFont val="Arial"/>
        <b/>
        <color rgb="FF000000"/>
        <sz val="11.0"/>
      </rPr>
      <t xml:space="preserve"> 200 OK </t>
    </r>
    <r>
      <rPr>
        <rFont val="Arial"/>
        <color rgb="FF000000"/>
        <sz val="11.0"/>
      </rPr>
      <t>y el campo isItPossibleToDeliver tiene el valor false, indicando que no es posible completar la entrega.</t>
    </r>
  </si>
  <si>
    <t>UG-1-TC-04</t>
  </si>
  <si>
    <t>Agregar un producto existente a un grocery bundle inexistente</t>
  </si>
  <si>
    <r>
      <rPr>
        <rFont val="Arial"/>
        <color rgb="FF000000"/>
        <sz val="10.0"/>
      </rPr>
      <t xml:space="preserve">- La API está disponible.
- Se ha verificado que el productId </t>
    </r>
    <r>
      <rPr>
        <rFont val="Arial"/>
        <b/>
        <color rgb="FF000000"/>
        <sz val="10.0"/>
      </rPr>
      <t xml:space="preserve">3 </t>
    </r>
    <r>
      <rPr>
        <rFont val="Arial"/>
        <color rgb="FF000000"/>
        <sz val="10.0"/>
      </rPr>
      <t xml:space="preserve">existe.
-Se ha verificado que el groceryBundleId </t>
    </r>
    <r>
      <rPr>
        <rFont val="Arial"/>
        <b/>
        <color rgb="FF000000"/>
        <sz val="10.0"/>
      </rPr>
      <t>20</t>
    </r>
    <r>
      <rPr>
        <rFont val="Arial"/>
        <color rgb="FF000000"/>
        <sz val="10.0"/>
      </rPr>
      <t xml:space="preserve"> no existe.</t>
    </r>
  </si>
  <si>
    <r>
      <rPr>
        <rFont val="Arial"/>
        <color rgb="FF000000"/>
        <sz val="10.0"/>
      </rPr>
      <t xml:space="preserve">Enviar una solicitud </t>
    </r>
    <r>
      <rPr>
        <rFont val="Arial"/>
        <b/>
        <color rgb="FF000000"/>
        <sz val="10.0"/>
      </rPr>
      <t>POST al endpoint 
​/api​/v1​/grocery-bundles​/20/products</t>
    </r>
    <r>
      <rPr>
        <rFont val="Arial"/>
        <color rgb="FF000000"/>
        <sz val="10.0"/>
      </rPr>
      <t xml:space="preserve">
En el body agregar  la siguiente extructura 
</t>
    </r>
    <r>
      <rPr>
        <rFont val="Arial"/>
        <b/>
        <color rgb="FF000000"/>
        <sz val="10.0"/>
      </rPr>
      <t>{
  "productsList": [
    {
      "productId": 3,
      "quantity": 1
    }
  ]
}</t>
    </r>
  </si>
  <si>
    <t>UG-2-TC-07</t>
  </si>
  <si>
    <t>La API, responde 404 not found</t>
  </si>
  <si>
    <t xml:space="preserve">Calcular la entrega omitiendo el campo "quantity" en el arreglo </t>
  </si>
  <si>
    <r>
      <rPr>
        <rFont val="Arial"/>
        <color rgb="FF000000"/>
        <sz val="12.0"/>
      </rPr>
      <t xml:space="preserve">La API de Urban Grocers se encuentra activa y disponible. La variable </t>
    </r>
    <r>
      <rPr>
        <rFont val="Arial"/>
        <b/>
        <color rgb="FF000000"/>
        <sz val="12.0"/>
      </rPr>
      <t>{{url-base}}</t>
    </r>
    <r>
      <rPr>
        <rFont val="Arial"/>
        <color rgb="FF000000"/>
        <sz val="12.0"/>
      </rPr>
      <t xml:space="preserve"> está creada y configurada con la </t>
    </r>
    <r>
      <rPr>
        <rFont val="Arial"/>
        <b/>
        <color rgb="FF000000"/>
        <sz val="12.0"/>
      </rPr>
      <t>URL https://urban-grocers-es.up.railway.app</t>
    </r>
  </si>
  <si>
    <t>4</t>
  </si>
  <si>
    <t>UG-1-BUG-03</t>
  </si>
  <si>
    <r>
      <rPr>
        <rFont val="Arial"/>
        <color rgb="FF000000"/>
        <sz val="10.0"/>
      </rPr>
      <t xml:space="preserve">Realizar una solicitud </t>
    </r>
    <r>
      <rPr>
        <rFont val="Arial"/>
        <b/>
        <color rgb="FF000000"/>
        <sz val="10.0"/>
      </rPr>
      <t>POST al endpoint  /speedy/v1/calculate</t>
    </r>
    <r>
      <rPr>
        <rFont val="Arial"/>
        <color rgb="FF000000"/>
        <sz val="10.0"/>
      </rPr>
      <t xml:space="preserve">
en el Body agregar la siguiente estructura válida:
</t>
    </r>
    <r>
      <rPr>
        <rFont val="Arial"/>
        <b/>
        <color rgb="FF000000"/>
        <sz val="10.0"/>
      </rPr>
      <t xml:space="preserve">{
  "products": [
    {
      "productId": 3
    }
  ],
  "deliveryTime": 9
}
</t>
    </r>
  </si>
  <si>
    <t>UG-1-TC-05</t>
  </si>
  <si>
    <t>La API permite agregar un producto con una cantidad de 0</t>
  </si>
  <si>
    <r>
      <rPr>
        <rFont val="Arial"/>
        <color rgb="FF000000"/>
        <sz val="10.0"/>
      </rPr>
      <t xml:space="preserve">La API devuelve </t>
    </r>
    <r>
      <rPr>
        <rFont val="Arial"/>
        <b/>
        <color rgb="FF000000"/>
        <sz val="10.0"/>
      </rPr>
      <t xml:space="preserve">400 Bad Request </t>
    </r>
    <r>
      <rPr>
        <rFont val="Arial"/>
        <color rgb="FF000000"/>
        <sz val="10.0"/>
      </rPr>
      <t>por omitir el campo "quantity"</t>
    </r>
  </si>
  <si>
    <t>Crea un reporte de errores en Jira por cada error confirmado e introduce su ID en el caso de prueba fallido relacionado.</t>
  </si>
  <si>
    <t>Enviar un productsList con estructura inválida a un grocery bundle existente</t>
  </si>
  <si>
    <r>
      <rPr>
        <rFont val="Arial"/>
        <color rgb="FF000000"/>
        <sz val="11.0"/>
      </rPr>
      <t xml:space="preserve">La API está disponible.
Crear un grocery bundle mediante </t>
    </r>
    <r>
      <rPr>
        <rFont val="Arial"/>
        <b/>
        <color rgb="FF000000"/>
        <sz val="11.0"/>
      </rPr>
      <t>POST /api/v1/grocery-bundles</t>
    </r>
    <r>
      <rPr>
        <rFont val="Arial"/>
        <color rgb="FF000000"/>
        <sz val="11.0"/>
      </rPr>
      <t xml:space="preserve"> con el siguiente body:
</t>
    </r>
    <r>
      <rPr>
        <rFont val="Arial"/>
        <b/>
        <color rgb="FF000000"/>
        <sz val="11.0"/>
      </rPr>
      <t>{
  "groceryBundleName": "Paquete de prueba",
  "groceryCollectionId": 1
}</t>
    </r>
    <r>
      <rPr>
        <rFont val="Arial"/>
        <color rgb="FF000000"/>
        <sz val="11.0"/>
      </rPr>
      <t xml:space="preserve">
Guardar el groceryBundleId generado por la API, ya que será utilizado en el caso de prueba.
</t>
    </r>
  </si>
  <si>
    <r>
      <rPr>
        <rFont val="Arial"/>
        <color rgb="FF000000"/>
        <sz val="11.0"/>
      </rPr>
      <t xml:space="preserve">Enviar una solicitud </t>
    </r>
    <r>
      <rPr>
        <rFont val="Arial"/>
        <b/>
        <color rgb="FF000000"/>
        <sz val="11.0"/>
      </rPr>
      <t>POST al endpoint 
​/api​/v1​/grocery-bundles​/{groceryBundleId}​/products</t>
    </r>
    <r>
      <rPr>
        <rFont val="Arial"/>
        <color rgb="FF000000"/>
        <sz val="11.0"/>
      </rPr>
      <t xml:space="preserve">
En el body agregar  la siguiente extructura 
</t>
    </r>
    <r>
      <rPr>
        <rFont val="Arial"/>
        <b/>
        <color rgb="FF000000"/>
        <sz val="11.0"/>
      </rPr>
      <t>{
  "productsList": "productos"
}</t>
    </r>
  </si>
  <si>
    <r>
      <rPr>
        <rFont val="Arial"/>
        <b/>
        <color rgb="FF000000"/>
        <sz val="10.0"/>
      </rPr>
      <t>Precondiciones:</t>
    </r>
    <r>
      <rPr>
        <rFont val="Arial"/>
        <color rgb="FF000000"/>
        <sz val="10.0"/>
      </rPr>
      <t xml:space="preserve">
-La API está disponible.
-Crear un grocery bundle mediante</t>
    </r>
    <r>
      <rPr>
        <rFont val="Arial"/>
        <b/>
        <color rgb="FF000000"/>
        <sz val="10.0"/>
      </rPr>
      <t xml:space="preserve"> POST /api/v1/grocery-bundles </t>
    </r>
    <r>
      <rPr>
        <rFont val="Arial"/>
        <color rgb="FF000000"/>
        <sz val="10.0"/>
      </rPr>
      <t xml:space="preserve">con el siguiente body:
</t>
    </r>
    <r>
      <rPr>
        <rFont val="Arial"/>
        <b/>
        <color rgb="FF000000"/>
        <sz val="10.0"/>
      </rPr>
      <t>{
  "groceryBundleName": "Paquete de prueba",
  "groceryCollectionId": 1
}</t>
    </r>
    <r>
      <rPr>
        <rFont val="Arial"/>
        <color rgb="FF000000"/>
        <sz val="10.0"/>
      </rPr>
      <t xml:space="preserve">
-Guardar el groceryBundleId generado por la API, ya que será utilizado en el caso de prueba.
-Se cuenta con un productId válido/existente (3).</t>
    </r>
    <r>
      <rPr>
        <rFont val="Arial"/>
        <color rgb="FF0000FF"/>
        <sz val="10.0"/>
      </rPr>
      <t xml:space="preserve">
</t>
    </r>
    <r>
      <rPr>
        <rFont val="Arial"/>
        <b/>
        <color rgb="FF0000FF"/>
        <sz val="10.0"/>
      </rPr>
      <t xml:space="preserve">
</t>
    </r>
    <r>
      <rPr>
        <rFont val="Arial"/>
        <b/>
        <color rgb="FF000000"/>
        <sz val="10.0"/>
      </rPr>
      <t>Pasos:</t>
    </r>
    <r>
      <rPr>
        <rFont val="Arial"/>
        <color rgb="FF000000"/>
        <sz val="10.0"/>
      </rPr>
      <t xml:space="preserve">
</t>
    </r>
    <r>
      <rPr>
        <rFont val="Arial"/>
        <b/>
        <color rgb="FF000000"/>
        <sz val="10.0"/>
      </rPr>
      <t xml:space="preserve">1. </t>
    </r>
    <r>
      <rPr>
        <rFont val="Arial"/>
        <color rgb="FF000000"/>
        <sz val="10.0"/>
      </rPr>
      <t>Enviar una solicitud</t>
    </r>
    <r>
      <rPr>
        <rFont val="Arial"/>
        <b/>
        <color rgb="FF000000"/>
        <sz val="10.0"/>
      </rPr>
      <t xml:space="preserve"> POST al endpoint 
​/api​/v1​/grocery-bundles​/{groceryBundleId}​/products</t>
    </r>
    <r>
      <rPr>
        <rFont val="Arial"/>
        <color rgb="FF000000"/>
        <sz val="10.0"/>
      </rPr>
      <t xml:space="preserve">
y en el body  agregar productos con la siguiente estructura 
</t>
    </r>
    <r>
      <rPr>
        <rFont val="Arial"/>
        <b/>
        <color rgb="FF000000"/>
        <sz val="10.0"/>
      </rPr>
      <t>{
  "productsList": [
    {
      "productId": 3,
      "quantity": 0
    }
  ]
}</t>
    </r>
  </si>
  <si>
    <t>UG-2-TC-08</t>
  </si>
  <si>
    <t>Calcular entrega reemplazando el tipo de dato numérico por un "string" en el campo "quantity"</t>
  </si>
  <si>
    <r>
      <rPr>
        <rFont val="Arial"/>
        <color rgb="FF000000"/>
        <sz val="12.0"/>
      </rPr>
      <t xml:space="preserve">La API de Urban Grocers se encuentra activa y disponible. La variable </t>
    </r>
    <r>
      <rPr>
        <rFont val="Arial"/>
        <b/>
        <color rgb="FF000000"/>
        <sz val="12.0"/>
      </rPr>
      <t>{{url-base}}</t>
    </r>
    <r>
      <rPr>
        <rFont val="Arial"/>
        <color rgb="FF000000"/>
        <sz val="12.0"/>
      </rPr>
      <t xml:space="preserve"> está creada y configurada con la </t>
    </r>
    <r>
      <rPr>
        <rFont val="Arial"/>
        <b/>
        <color rgb="FF000000"/>
        <sz val="12.0"/>
      </rPr>
      <t>URL https://urban-grocers-es.up.railway.app</t>
    </r>
  </si>
  <si>
    <t xml:space="preserve">La API, debe devolver un error por no ser una cantidad valida </t>
  </si>
  <si>
    <t>La API, responde con 200 ok permitiendo agregar el producto con una cantidad de cero</t>
  </si>
  <si>
    <r>
      <rPr>
        <rFont val="Arial"/>
        <color rgb="FF000000"/>
        <sz val="10.0"/>
      </rPr>
      <t xml:space="preserve">Realizar una solicitud </t>
    </r>
    <r>
      <rPr>
        <rFont val="Arial"/>
        <b/>
        <color rgb="FF000000"/>
        <sz val="10.0"/>
      </rPr>
      <t>POST al endpoint /speedy/v1/calculate</t>
    </r>
    <r>
      <rPr>
        <rFont val="Arial"/>
        <color rgb="FF000000"/>
        <sz val="10.0"/>
      </rPr>
      <t xml:space="preserve">
en el Body agregar la siguiente estructura válida:
</t>
    </r>
    <r>
      <rPr>
        <rFont val="Arial"/>
        <b/>
        <color rgb="FF000000"/>
        <sz val="10.0"/>
      </rPr>
      <t xml:space="preserve">{
  "products": [
    {
      "productId": 3,
      "quantity": "Two"
    }
  ],
  "deliveryTime": 9
}
</t>
    </r>
  </si>
  <si>
    <t>https://drive.google.com/file/d/1FCrt7KH2FNg9NqtyFRfjbo935xQiWG5p/view?usp=sharing</t>
  </si>
  <si>
    <r>
      <rPr>
        <rFont val="Arial"/>
        <color rgb="FF000000"/>
        <sz val="10.0"/>
      </rPr>
      <t xml:space="preserve">La API devuelve </t>
    </r>
    <r>
      <rPr>
        <rFont val="Arial"/>
        <b/>
        <color rgb="FF000000"/>
        <sz val="10.0"/>
      </rPr>
      <t xml:space="preserve">400 Bad Request </t>
    </r>
    <r>
      <rPr>
        <rFont val="Arial"/>
        <color rgb="FF000000"/>
        <sz val="10.0"/>
      </rPr>
      <t>por reemplazar el valor "number" por un "string" en el campo "quantity"</t>
    </r>
  </si>
  <si>
    <t>UG-1-TC-06</t>
  </si>
  <si>
    <t>Agregar 30 productos con IDs únicos a un grocery bundle existente</t>
  </si>
  <si>
    <t>UG-2-TC-09</t>
  </si>
  <si>
    <t>Calcular la entrega  con una estructura inválida en el "Body".</t>
  </si>
  <si>
    <r>
      <rPr>
        <rFont val="Arial"/>
        <color rgb="FF000000"/>
        <sz val="11.0"/>
      </rPr>
      <t xml:space="preserve">La API está disponible.
-Crear un grocery bundle válido y vacío mediante </t>
    </r>
    <r>
      <rPr>
        <rFont val="Arial"/>
        <b/>
        <color rgb="FF000000"/>
        <sz val="11.0"/>
      </rPr>
      <t>POST /api/v1/grocery-bundles</t>
    </r>
    <r>
      <rPr>
        <rFont val="Arial"/>
        <color rgb="FF000000"/>
        <sz val="11.0"/>
      </rPr>
      <t xml:space="preserve"> con el siguiente body:
</t>
    </r>
    <r>
      <rPr>
        <rFont val="Arial"/>
        <b/>
        <color rgb="FF000000"/>
        <sz val="11.0"/>
      </rPr>
      <t>{
  "groceryBundleName": "Paquete de prueba",
  "groceryCollectionId": 1
}</t>
    </r>
    <r>
      <rPr>
        <rFont val="Arial"/>
        <color rgb="FF000000"/>
        <sz val="11.0"/>
      </rPr>
      <t xml:space="preserve">
Guardar el groceryBundleId generado por la API, ya que será utilizado en el caso de prueba.
</t>
    </r>
  </si>
  <si>
    <r>
      <rPr>
        <rFont val="Arial"/>
        <color rgb="FF000000"/>
        <sz val="12.0"/>
      </rPr>
      <t xml:space="preserve">La API de Urban Grocers se encuentra activa y disponible. La variable </t>
    </r>
    <r>
      <rPr>
        <rFont val="Arial"/>
        <b/>
        <color rgb="FF000000"/>
        <sz val="12.0"/>
      </rPr>
      <t>{{url-base}}</t>
    </r>
    <r>
      <rPr>
        <rFont val="Arial"/>
        <color rgb="FF000000"/>
        <sz val="12.0"/>
      </rPr>
      <t xml:space="preserve"> está creada y configurada con la </t>
    </r>
    <r>
      <rPr>
        <rFont val="Arial"/>
        <b/>
        <color rgb="FF000000"/>
        <sz val="12.0"/>
      </rPr>
      <t>URL</t>
    </r>
    <r>
      <rPr>
        <rFont val="Arial"/>
        <color rgb="FF000000"/>
        <sz val="12.0"/>
      </rPr>
      <t xml:space="preserve"> https://urban-grocers-es.up.railway.app</t>
    </r>
  </si>
  <si>
    <r>
      <rPr>
        <rFont val="Arial"/>
        <color rgb="FF000000"/>
        <sz val="11.0"/>
      </rPr>
      <t>Realizar una solicitud</t>
    </r>
    <r>
      <rPr>
        <rFont val="Arial"/>
        <b/>
        <color rgb="FF000000"/>
        <sz val="11.0"/>
      </rPr>
      <t xml:space="preserve"> POST al endpoint /speedy/v1/calculate</t>
    </r>
    <r>
      <rPr>
        <rFont val="Arial"/>
        <color rgb="FF000000"/>
        <sz val="11.0"/>
      </rPr>
      <t xml:space="preserve">
en el Body agregar la siguiente estructura:
</t>
    </r>
    <r>
      <rPr>
        <rFont val="Arial"/>
        <b/>
        <color rgb="FF000000"/>
        <sz val="11.0"/>
      </rPr>
      <t>{
  "products": {
    "productId": 3,
    "quantity": 1
  },
  "deliveryTime": 9
}</t>
    </r>
  </si>
  <si>
    <r>
      <rPr>
        <rFont val="Arial"/>
        <color rgb="FF000000"/>
        <sz val="11.0"/>
      </rPr>
      <t xml:space="preserve">Enviar una solicitud </t>
    </r>
    <r>
      <rPr>
        <rFont val="Arial"/>
        <b/>
        <color rgb="FF000000"/>
        <sz val="11.0"/>
      </rPr>
      <t>POST al endpoint /api/v1/grocery-bundles/{groceryBundleId}/products</t>
    </r>
    <r>
      <rPr>
        <rFont val="Arial"/>
        <color rgb="FF000000"/>
        <sz val="11.0"/>
      </rPr>
      <t xml:space="preserve"> con </t>
    </r>
    <r>
      <rPr>
        <rFont val="Arial"/>
        <b/>
        <color rgb="FF000000"/>
        <sz val="11.0"/>
      </rPr>
      <t>30</t>
    </r>
    <r>
      <rPr>
        <rFont val="Arial"/>
        <color rgb="FF000000"/>
        <sz val="11.0"/>
      </rPr>
      <t xml:space="preserve"> productos cuyos IDs sean único.
En body de agregar los 30 productos con la siguiente extructura 
</t>
    </r>
    <r>
      <rPr>
        <rFont val="Arial"/>
        <b/>
        <color rgb="FF000000"/>
        <sz val="11.0"/>
      </rPr>
      <t>{
  "productsList": [
    { "productId": 1, "quantity": 1 },
    { "productId": 2, "quantity": 1 },
    { "productId": 3, "quantity": 1 },
    ...
    { "productId": 30, "quantity": 1 }
  ]
}</t>
    </r>
  </si>
  <si>
    <r>
      <rPr>
        <rFont val="Arial"/>
        <color rgb="FF000000"/>
        <sz val="11.0"/>
      </rPr>
      <t xml:space="preserve">La API devuelve </t>
    </r>
    <r>
      <rPr>
        <rFont val="Arial"/>
        <b/>
        <color rgb="FF000000"/>
        <sz val="11.0"/>
      </rPr>
      <t xml:space="preserve">400 Bad Request </t>
    </r>
    <r>
      <rPr>
        <rFont val="Arial"/>
        <color rgb="FF000000"/>
        <sz val="11.0"/>
      </rPr>
      <t>por enviar una estructura invalida en el "Body".</t>
    </r>
  </si>
  <si>
    <t>Los producto se agregan correctamente al grocery bundle y la API devuelve 200 OK.</t>
  </si>
  <si>
    <t>UG-1-TC-07</t>
  </si>
  <si>
    <t>Intentar agregar un producto con cantidad 0 a un grocery bundle existente</t>
  </si>
  <si>
    <t>UG-2-TC-10</t>
  </si>
  <si>
    <r>
      <rPr>
        <rFont val="Arial"/>
        <color rgb="FF000000"/>
        <sz val="10.0"/>
      </rPr>
      <t xml:space="preserve">-La API está disponible.
-Crear un grocery bundle mediante </t>
    </r>
    <r>
      <rPr>
        <rFont val="Arial"/>
        <b/>
        <color rgb="FF000000"/>
        <sz val="10.0"/>
      </rPr>
      <t xml:space="preserve">POST /api/v1/grocery-bundles </t>
    </r>
    <r>
      <rPr>
        <rFont val="Arial"/>
        <color rgb="FF000000"/>
        <sz val="10.0"/>
      </rPr>
      <t xml:space="preserve">con el siguiente body:
</t>
    </r>
    <r>
      <rPr>
        <rFont val="Arial"/>
        <b/>
        <color rgb="FF000000"/>
        <sz val="10.0"/>
      </rPr>
      <t>{
  "groceryBundleName": "Paquete de prueba",
  "groceryCollectionId": 1
}</t>
    </r>
    <r>
      <rPr>
        <rFont val="Arial"/>
        <color rgb="FF000000"/>
        <sz val="10.0"/>
      </rPr>
      <t xml:space="preserve">
-Guardar el groceryBundleId generado por la API, ya que será utilizado en el caso de prueba.
-Se cuenta con un productId válido/existente (3).
</t>
    </r>
  </si>
  <si>
    <r>
      <rPr>
        <rFont val="Arial"/>
        <color rgb="FF000000"/>
        <sz val="11.0"/>
      </rPr>
      <t>Enviar una solicitud</t>
    </r>
    <r>
      <rPr>
        <rFont val="Arial"/>
        <b/>
        <color rgb="FF000000"/>
        <sz val="11.0"/>
      </rPr>
      <t xml:space="preserve"> POST al endpoint 
​/api​/v1​/grocery-bundles​/{groceryBundleId}​/products</t>
    </r>
    <r>
      <rPr>
        <rFont val="Arial"/>
        <color rgb="FF000000"/>
        <sz val="11.0"/>
      </rPr>
      <t xml:space="preserve">
y en el body  agregar productos con la siguiente extructura 
</t>
    </r>
    <r>
      <rPr>
        <rFont val="Arial"/>
        <b/>
        <color rgb="FF000000"/>
        <sz val="11.0"/>
      </rPr>
      <t>{
  "productsList": [
    {
      "productId": 3,
      "quantity": 0
    }
  ]
}</t>
    </r>
  </si>
  <si>
    <t>TAREAS Y PANEL DE PROGRESO</t>
  </si>
  <si>
    <t>UG-1-BUG-04</t>
  </si>
  <si>
    <t>UG-1-TC-08</t>
  </si>
  <si>
    <r>
      <rPr>
        <rFont val="Calibri"/>
        <color rgb="FF000000"/>
      </rPr>
      <t>La API devuelve</t>
    </r>
    <r>
      <rPr>
        <rFont val="Calibri"/>
        <b/>
        <color rgb="FF000000"/>
      </rPr>
      <t xml:space="preserve"> 500</t>
    </r>
    <r>
      <rPr>
        <rFont val="Calibri"/>
        <color rgb="FF000000"/>
      </rPr>
      <t xml:space="preserve"> al omitir el campo obligatorio quantity al agregar un producto</t>
    </r>
  </si>
  <si>
    <t>Agregar un producto existente, omitiendo el campo quantity   a un grocery bundle existente</t>
  </si>
  <si>
    <t>UG-2-TC-11</t>
  </si>
  <si>
    <r>
      <rPr>
        <rFont val="Arial"/>
        <color rgb="FF000000"/>
        <sz val="11.0"/>
      </rPr>
      <t xml:space="preserve">-La API está disponible.
-Crear un grocery bundle mediante </t>
    </r>
    <r>
      <rPr>
        <rFont val="Arial"/>
        <b/>
        <color rgb="FF000000"/>
        <sz val="11.0"/>
      </rPr>
      <t>POST /api/v1/grocery-bundles</t>
    </r>
    <r>
      <rPr>
        <rFont val="Arial"/>
        <color rgb="FF000000"/>
        <sz val="11.0"/>
      </rPr>
      <t xml:space="preserve"> con el siguiente body:
</t>
    </r>
    <r>
      <rPr>
        <rFont val="Arial"/>
        <b/>
        <color rgb="FF000000"/>
        <sz val="11.0"/>
      </rPr>
      <t>{
  "groceryBundleName": "Paquete de prueba",
  "groceryCollectionId": 1
}</t>
    </r>
    <r>
      <rPr>
        <rFont val="Arial"/>
        <color rgb="FF000000"/>
        <sz val="11.0"/>
      </rPr>
      <t xml:space="preserve">
-Guardar el groceryBundleId generado por la API, ya que será utilizado en el caso de prueba.
-Se cuenta con un productId válido/existente</t>
    </r>
    <r>
      <rPr>
        <rFont val="Arial"/>
        <b/>
        <color rgb="FF000000"/>
        <sz val="11.0"/>
      </rPr>
      <t xml:space="preserve"> (3)</t>
    </r>
    <r>
      <rPr>
        <rFont val="Arial"/>
        <color rgb="FF000000"/>
        <sz val="11.0"/>
      </rPr>
      <t xml:space="preserve">.
</t>
    </r>
  </si>
  <si>
    <r>
      <rPr>
        <rFont val="Arial"/>
        <b/>
        <color rgb="FF000000"/>
        <sz val="10.0"/>
      </rPr>
      <t>Precondiciones:</t>
    </r>
    <r>
      <rPr>
        <rFont val="Arial"/>
        <color rgb="FF000000"/>
        <sz val="10.0"/>
      </rPr>
      <t xml:space="preserve">
-La API está disponible.
-Crear un grocery bundle mediante</t>
    </r>
    <r>
      <rPr>
        <rFont val="Arial"/>
        <b/>
        <color rgb="FF000000"/>
        <sz val="10.0"/>
      </rPr>
      <t xml:space="preserve"> POST /api/v1/grocery-bundles</t>
    </r>
    <r>
      <rPr>
        <rFont val="Arial"/>
        <color rgb="FF000000"/>
        <sz val="10.0"/>
      </rPr>
      <t xml:space="preserve"> con el siguiente body:
</t>
    </r>
    <r>
      <rPr>
        <rFont val="Arial"/>
        <b/>
        <color rgb="FF000000"/>
        <sz val="10.0"/>
      </rPr>
      <t>{
  "groceryBundleName": "Paquete de prueba",
  "groceryCollectionId": 1
}</t>
    </r>
    <r>
      <rPr>
        <rFont val="Arial"/>
        <color rgb="FF000000"/>
        <sz val="10.0"/>
      </rPr>
      <t xml:space="preserve">
-Guardar el groceryBundleId generado por la API, ya que será utilizado en el caso de prueba.
-Se cuenta con un productId válido/existente (3).
</t>
    </r>
    <r>
      <rPr>
        <rFont val="Arial"/>
        <b/>
        <color rgb="FF000000"/>
        <sz val="10.0"/>
      </rPr>
      <t>Pasos:</t>
    </r>
    <r>
      <rPr>
        <rFont val="Arial"/>
        <color rgb="FF000000"/>
        <sz val="10.0"/>
      </rPr>
      <t xml:space="preserve">
</t>
    </r>
    <r>
      <rPr>
        <rFont val="Arial"/>
        <b/>
        <color rgb="FF000000"/>
        <sz val="10.0"/>
      </rPr>
      <t>1.</t>
    </r>
    <r>
      <rPr>
        <rFont val="Arial"/>
        <color rgb="FF000000"/>
        <sz val="10.0"/>
      </rPr>
      <t xml:space="preserve"> Enviar una solicitud</t>
    </r>
    <r>
      <rPr>
        <rFont val="Arial"/>
        <b/>
        <color rgb="FF000000"/>
        <sz val="10.0"/>
      </rPr>
      <t xml:space="preserve"> POST al endpoint 
​/api​/v1​/grocery-bundles​/{groceryBundleId}​/products</t>
    </r>
    <r>
      <rPr>
        <rFont val="Arial"/>
        <color rgb="FF000000"/>
        <sz val="10.0"/>
      </rPr>
      <t xml:space="preserve">
y en el body  agregar productos con la siguiente estructura 
</t>
    </r>
    <r>
      <rPr>
        <rFont val="Arial"/>
        <b/>
        <color rgb="FF000000"/>
        <sz val="10.0"/>
      </rPr>
      <t>{
  "productsList": [
    {
      "productId": 3
    }
  ]
}</t>
    </r>
  </si>
  <si>
    <r>
      <rPr>
        <rFont val="Arial"/>
        <color rgb="FF000000"/>
        <sz val="10.0"/>
      </rPr>
      <t>Enviar una solicitud</t>
    </r>
    <r>
      <rPr>
        <rFont val="Arial"/>
        <b/>
        <color rgb="FF000000"/>
        <sz val="10.0"/>
      </rPr>
      <t xml:space="preserve"> POST al endpoint 
​/api​/v1​/grocery-bundles​/{groceryBundleId}​/products</t>
    </r>
    <r>
      <rPr>
        <rFont val="Arial"/>
        <color rgb="FF000000"/>
        <sz val="10.0"/>
      </rPr>
      <t xml:space="preserve">
y en el body  agregar productos con la siguiente extructura 
</t>
    </r>
    <r>
      <rPr>
        <rFont val="Arial"/>
        <b/>
        <color rgb="FF000000"/>
        <sz val="10.0"/>
      </rPr>
      <t>{
  "productsList": [
    {
      "productId": 3
    }
  ]
}</t>
    </r>
  </si>
  <si>
    <t>La API devuelve 400 Bad Request debido a la omisión del campo obligatorio quantity.</t>
  </si>
  <si>
    <t>La API, responde con 500 y un mensaje de "invalid input syntax for type integer: \"NaN\"</t>
  </si>
  <si>
    <t>https://drive.google.com/file/d/1LoZr4hZS7to54qbovttZNPHfbxV809GT/view?usp=sharing</t>
  </si>
  <si>
    <t>UG-2-TC-12</t>
  </si>
  <si>
    <t>UG-1-TC-09</t>
  </si>
  <si>
    <t>Agregar 29  productos con IDs únicos a un grocery bundle existente</t>
  </si>
  <si>
    <r>
      <rPr>
        <rFont val="Arial"/>
        <color rgb="FF000000"/>
        <sz val="11.0"/>
      </rPr>
      <t xml:space="preserve">La API está disponible.
-Crear un grocery bundle válido y vacío mediante </t>
    </r>
    <r>
      <rPr>
        <rFont val="Arial"/>
        <b/>
        <color rgb="FF000000"/>
        <sz val="11.0"/>
      </rPr>
      <t>POST /api/v1/grocery-bundles</t>
    </r>
    <r>
      <rPr>
        <rFont val="Arial"/>
        <color rgb="FF000000"/>
        <sz val="11.0"/>
      </rPr>
      <t xml:space="preserve"> con el siguiente body:
</t>
    </r>
    <r>
      <rPr>
        <rFont val="Arial"/>
        <b/>
        <color rgb="FF000000"/>
        <sz val="11.0"/>
      </rPr>
      <t>{
  "groceryBundleName": "Paquete de prueba",
  "groceryCollectionId": 1
}</t>
    </r>
    <r>
      <rPr>
        <rFont val="Arial"/>
        <color rgb="FF000000"/>
        <sz val="11.0"/>
      </rPr>
      <t xml:space="preserve">
Guardar el groceryBundleId generado por la API, ya que será utilizado en el caso de prueba.
</t>
    </r>
  </si>
  <si>
    <t>UG-2-TC-13</t>
  </si>
  <si>
    <r>
      <rPr>
        <rFont val="Arial"/>
        <color rgb="FF000000"/>
        <sz val="11.0"/>
      </rPr>
      <t xml:space="preserve">Enviar una solicitud </t>
    </r>
    <r>
      <rPr>
        <rFont val="Arial"/>
        <b/>
        <color rgb="FF000000"/>
        <sz val="11.0"/>
      </rPr>
      <t>POST al endpoint /api/v1/grocery-bundles/{groceryBundleId}/products</t>
    </r>
    <r>
      <rPr>
        <rFont val="Arial"/>
        <color rgb="FF000000"/>
        <sz val="11.0"/>
      </rPr>
      <t xml:space="preserve"> con </t>
    </r>
    <r>
      <rPr>
        <rFont val="Arial"/>
        <b/>
        <color rgb="FF000000"/>
        <sz val="11.0"/>
      </rPr>
      <t>29</t>
    </r>
    <r>
      <rPr>
        <rFont val="Arial"/>
        <color rgb="FF000000"/>
        <sz val="11.0"/>
      </rPr>
      <t xml:space="preserve"> productos cuyos IDs sean único y quantity = 1 para cada producto.
En el body agregar los </t>
    </r>
    <r>
      <rPr>
        <rFont val="Arial"/>
        <b/>
        <color rgb="FF000000"/>
        <sz val="11.0"/>
      </rPr>
      <t xml:space="preserve">29 </t>
    </r>
    <r>
      <rPr>
        <rFont val="Arial"/>
        <color rgb="FF000000"/>
        <sz val="11.0"/>
      </rPr>
      <t xml:space="preserve">productos únicos y quantity = 1 para cada producto con esta estructura:
</t>
    </r>
    <r>
      <rPr>
        <rFont val="Arial"/>
        <b/>
        <color rgb="FF000000"/>
        <sz val="11.0"/>
      </rPr>
      <t xml:space="preserve">
  </t>
    </r>
    <r>
      <rPr>
        <rFont val="Arial"/>
        <b/>
        <color rgb="FF000000"/>
        <sz val="10.0"/>
      </rPr>
      <t>{
  "productsList": [
    { "productId": 1, "quantity": 1 },
    { "productId": 2, "quantity": 1 },
    { "productId": 3, "quantity": 1 },
    ...
    { "productId": 29, "quantity": 1 }
  ]
}</t>
    </r>
  </si>
  <si>
    <t>La API responde 200 OK y
Los 29 productos se agregan correctamente al paquete.</t>
  </si>
  <si>
    <t>UG-2-TC-14</t>
  </si>
  <si>
    <t>Ticket</t>
  </si>
  <si>
    <t>UG-1-TC-10</t>
  </si>
  <si>
    <t>UG-2-TC-15</t>
  </si>
  <si>
    <t>Área</t>
  </si>
  <si>
    <t>Cobertura requerida</t>
  </si>
  <si>
    <t>UG-1-BUG-05</t>
  </si>
  <si>
    <t>UG-2-TC-16</t>
  </si>
  <si>
    <t>UG-1-TC-11</t>
  </si>
  <si>
    <t>Casos objetivo</t>
  </si>
  <si>
    <t>UG-2-TC-17</t>
  </si>
  <si>
    <t>Errores reportados</t>
  </si>
  <si>
    <t>UG-1-TC-12</t>
  </si>
  <si>
    <t>Estado de la tarea</t>
  </si>
  <si>
    <t>UG-1-BUG-06</t>
  </si>
  <si>
    <t>UG-2-TC-18</t>
  </si>
  <si>
    <t>UG-1-TC-13</t>
  </si>
  <si>
    <t>UG-1-BUG-07</t>
  </si>
  <si>
    <t>UG-2-TC-19</t>
  </si>
  <si>
    <t>UG-1-TC-14</t>
  </si>
  <si>
    <t>UG-1</t>
  </si>
  <si>
    <t>UG-2-TC-20</t>
  </si>
  <si>
    <t>UG-1-BUG-08</t>
  </si>
  <si>
    <t>UG-1-TC-15</t>
  </si>
  <si>
    <t>Paquetes de productos</t>
  </si>
  <si>
    <t>UG-2-TC-21</t>
  </si>
  <si>
    <t>UG-1-TC-16</t>
  </si>
  <si>
    <t>UG-1-BUG-09</t>
  </si>
  <si>
    <t>Positivos · Negativos · CE · VL</t>
  </si>
  <si>
    <t>6–8</t>
  </si>
  <si>
    <t>UG-2-TC-22</t>
  </si>
  <si>
    <t>UG-1-TC-17</t>
  </si>
  <si>
    <t>UG-1-BUG-10</t>
  </si>
  <si>
    <t>UG-2-TC-23</t>
  </si>
  <si>
    <t>UG-1-TC-18</t>
  </si>
  <si>
    <t>UG-1-BUG-11</t>
  </si>
  <si>
    <t>UG-2-TC-24</t>
  </si>
  <si>
    <t>UG-1-TC-19</t>
  </si>
  <si>
    <t>UG-2-TC-25</t>
  </si>
  <si>
    <t>UG-1-BUG-12</t>
  </si>
  <si>
    <t>UG-1-TC-20</t>
  </si>
  <si>
    <t>UG-2-TC-26</t>
  </si>
  <si>
    <t>UG-1-TC-21</t>
  </si>
  <si>
    <t>UG-2-TC-27</t>
  </si>
  <si>
    <t>UG-1-BUG-13</t>
  </si>
  <si>
    <t>UG-1-TC-22</t>
  </si>
  <si>
    <t>UG-2-TC-28</t>
  </si>
  <si>
    <t>UG-1-TC-23</t>
  </si>
  <si>
    <t>UG-1-BUG-14</t>
  </si>
  <si>
    <t>UG-2-TC-29</t>
  </si>
  <si>
    <t>UG-1-TC-24</t>
  </si>
  <si>
    <t>UG-2-TC-30</t>
  </si>
  <si>
    <t>UG-1-BUG-15</t>
  </si>
  <si>
    <t>UG-2-TC-31</t>
  </si>
  <si>
    <t>UG-1-TC-25</t>
  </si>
  <si>
    <t>UG-1-BUG-16</t>
  </si>
  <si>
    <t>UG-2-TC-32</t>
  </si>
  <si>
    <t>UG-1-TC-26</t>
  </si>
  <si>
    <t>UG-1-BUG-17</t>
  </si>
  <si>
    <t>UG-2-TC-33</t>
  </si>
  <si>
    <t>UG-1-TC-27</t>
  </si>
  <si>
    <t>UG-2-TC-34</t>
  </si>
  <si>
    <t>UG-1-TC-28</t>
  </si>
  <si>
    <t>UG-1-BUG-18</t>
  </si>
  <si>
    <t>UG-2-TC-35</t>
  </si>
  <si>
    <t>UG-1-TC-29</t>
  </si>
  <si>
    <t>UG-1-BUG-19</t>
  </si>
  <si>
    <t>UG-2-TC-36</t>
  </si>
  <si>
    <t>UG-1-TC-30</t>
  </si>
  <si>
    <t>UG-2-TC-37</t>
  </si>
  <si>
    <t>UG-1-BUG-20</t>
  </si>
  <si>
    <t>UG-1-TC-31</t>
  </si>
  <si>
    <t>UG-2-TC-38</t>
  </si>
  <si>
    <t>UG-1-TC-32</t>
  </si>
  <si>
    <t>UG-1-BUG-21</t>
  </si>
  <si>
    <t>UG-2-TC-39</t>
  </si>
  <si>
    <t>UG-1-TC-33</t>
  </si>
  <si>
    <t>UG-2-TC-40</t>
  </si>
  <si>
    <t>UG-1-TC-34</t>
  </si>
  <si>
    <t>UG-2-TC-41</t>
  </si>
  <si>
    <t>UG-1-BUG-22</t>
  </si>
  <si>
    <t>UG-1-TC-35</t>
  </si>
  <si>
    <t>UG-2-TC-42</t>
  </si>
  <si>
    <t>UG-1-TC-36</t>
  </si>
  <si>
    <t>UG-1-BUG-23</t>
  </si>
  <si>
    <t>UG-2-TC-43</t>
  </si>
  <si>
    <t>UG-1-TC-37</t>
  </si>
  <si>
    <t>UG-1-BUG-24</t>
  </si>
  <si>
    <t>UG-2-TC-44</t>
  </si>
  <si>
    <t>UG-1-TC-38</t>
  </si>
  <si>
    <t>UG-2-TC-45</t>
  </si>
  <si>
    <t>UG-1-BUG-25</t>
  </si>
  <si>
    <t>UG-1-TC-39</t>
  </si>
  <si>
    <t>UG-2-TC-46</t>
  </si>
  <si>
    <t>UG-1-TC-40</t>
  </si>
  <si>
    <t>UG-2-TC-47</t>
  </si>
  <si>
    <t>UG-1-BUG-26</t>
  </si>
  <si>
    <t>UG-2-TC-48</t>
  </si>
  <si>
    <t>UG-1-TC-41</t>
  </si>
  <si>
    <t>UG-1-BUG-27</t>
  </si>
  <si>
    <t>UG-2</t>
  </si>
  <si>
    <t>UG-2-TC-49</t>
  </si>
  <si>
    <t>UG-1-TC-42</t>
  </si>
  <si>
    <t>Servicios de entrega</t>
  </si>
  <si>
    <t>UG-1-BUG-28</t>
  </si>
  <si>
    <t>UG-2-TC-50</t>
  </si>
  <si>
    <t>UG-1-TC-43</t>
  </si>
  <si>
    <t>UG-1-TC-44</t>
  </si>
  <si>
    <t>UG-1-BUG-29</t>
  </si>
  <si>
    <t>UG-1-TC-45</t>
  </si>
  <si>
    <t>UG-1-BUG-30</t>
  </si>
  <si>
    <t>UG-1-TC-46</t>
  </si>
  <si>
    <t>UG-1-TC-47</t>
  </si>
  <si>
    <t>UG-1-BUG-31</t>
  </si>
  <si>
    <t>UG-1-TC-48</t>
  </si>
  <si>
    <t>UG-1-BUG-32</t>
  </si>
  <si>
    <t>UG-1-TC-49</t>
  </si>
  <si>
    <t>UG-1-TC-50</t>
  </si>
  <si>
    <t>UG-1-BUG-33</t>
  </si>
  <si>
    <t>UG-1-BUG-34</t>
  </si>
  <si>
    <t>UG-1-BUG-35</t>
  </si>
  <si>
    <t>UG-1-BUG-36</t>
  </si>
  <si>
    <t>UG-1-BUG-37</t>
  </si>
  <si>
    <t>UG-3</t>
  </si>
  <si>
    <t>Carrito de compras (Opcional)</t>
  </si>
  <si>
    <t>5 operaciones · Autenticación · Positivos · Negativos</t>
  </si>
  <si>
    <t>UG-1-BUG-38</t>
  </si>
  <si>
    <t>UG-1-BUG-39</t>
  </si>
  <si>
    <t>UG-1-BUG-40</t>
  </si>
  <si>
    <t>ENLACES DEL PROYECTO</t>
  </si>
  <si>
    <t>URL del servidor</t>
  </si>
  <si>
    <t>[Pega aquí la URL actual del servidor backend]</t>
  </si>
  <si>
    <t>Swagger</t>
  </si>
  <si>
    <t>https://urban-grocers-es.up.railway.app/api/swagger/#/</t>
  </si>
  <si>
    <t>Servicios de entrega · Reportes de errores</t>
  </si>
  <si>
    <t>Reportes creados</t>
  </si>
  <si>
    <t>Críticos</t>
  </si>
  <si>
    <r>
      <rPr>
        <rFont val="Arial"/>
        <color rgb="FF000000"/>
        <sz val="12.0"/>
      </rPr>
      <t>La solicitud</t>
    </r>
    <r>
      <rPr>
        <rFont val="Arial"/>
        <b/>
        <color rgb="FF000000"/>
        <sz val="12.0"/>
      </rPr>
      <t xml:space="preserve"> POST /speedy/v1/calculate</t>
    </r>
    <r>
      <rPr>
        <rFont val="Arial"/>
        <color rgb="FF000000"/>
        <sz val="12.0"/>
      </rPr>
      <t xml:space="preserve"> no procesa correctamente los datos enviados en el body</t>
    </r>
  </si>
  <si>
    <r>
      <rPr>
        <rFont val="Arial"/>
        <b/>
        <color rgb="FF000000"/>
        <sz val="11.0"/>
      </rPr>
      <t xml:space="preserve">Precondiciones:
</t>
    </r>
    <r>
      <rPr>
        <rFont val="Arial"/>
        <color rgb="FF000000"/>
        <sz val="11.0"/>
      </rPr>
      <t xml:space="preserve">La API de Urban Grocers se encuentra activa y disponible. La variable </t>
    </r>
    <r>
      <rPr>
        <rFont val="Arial"/>
        <b/>
        <color rgb="FF000000"/>
        <sz val="11.0"/>
      </rPr>
      <t>{{url-base}}</t>
    </r>
    <r>
      <rPr>
        <rFont val="Arial"/>
        <color rgb="FF000000"/>
        <sz val="11.0"/>
      </rPr>
      <t xml:space="preserve"> está creada y configurada con la </t>
    </r>
    <r>
      <rPr>
        <rFont val="Arial"/>
        <b/>
        <color rgb="FF000000"/>
        <sz val="11.0"/>
      </rPr>
      <t xml:space="preserve">URL https://urban-grocers-es.up.railway.app
</t>
    </r>
    <r>
      <rPr>
        <rFont val="Arial"/>
        <color rgb="FF000000"/>
        <sz val="11.0"/>
      </rPr>
      <t xml:space="preserve">
</t>
    </r>
    <r>
      <rPr>
        <rFont val="Arial"/>
        <b/>
        <color rgb="FF000000"/>
        <sz val="11.0"/>
      </rPr>
      <t xml:space="preserve">Pasos:
</t>
    </r>
    <r>
      <rPr>
        <rFont val="Arial"/>
        <color rgb="FF000000"/>
        <sz val="11.0"/>
      </rPr>
      <t xml:space="preserve">Realizar una solicitud </t>
    </r>
    <r>
      <rPr>
        <rFont val="Arial"/>
        <b/>
        <color rgb="FF000000"/>
        <sz val="11.0"/>
      </rPr>
      <t>POST al endpoint  /speedy/v1/calculate</t>
    </r>
    <r>
      <rPr>
        <rFont val="Arial"/>
        <color rgb="FF000000"/>
        <sz val="11.0"/>
      </rPr>
      <t xml:space="preserve">
en el Body agregar la siguiente estructura válida:
</t>
    </r>
    <r>
      <rPr>
        <rFont val="Arial"/>
        <b/>
        <color rgb="FF000000"/>
        <sz val="11.0"/>
      </rPr>
      <t>{
  "products": [
    {
      "productId": 3,
      "quantity": 1
    }
  ],
  "deliveryTime": 6
}</t>
    </r>
    <r>
      <rPr>
        <rFont val="Arial"/>
        <color rgb="FF000000"/>
        <sz val="11.0"/>
      </rPr>
      <t xml:space="preserve">
</t>
    </r>
  </si>
  <si>
    <r>
      <rPr>
        <rFont val="Arial"/>
        <color rgb="FF000000"/>
        <sz val="11.0"/>
      </rPr>
      <t xml:space="preserve">Para solicitudes válidas cuya entrega no sea posible:
</t>
    </r>
    <r>
      <rPr>
        <rFont val="Arial"/>
        <b/>
        <color rgb="FF000000"/>
        <sz val="11.0"/>
      </rPr>
      <t xml:space="preserve">200 OK isItPossibleToDeliver = false
</t>
    </r>
    <r>
      <rPr>
        <rFont val="Arial"/>
        <color rgb="FF000000"/>
        <sz val="11.0"/>
      </rPr>
      <t xml:space="preserve">Para tipos, campos o estructuras inválidas:
</t>
    </r>
    <r>
      <rPr>
        <rFont val="Arial"/>
        <b/>
        <color rgb="FF000000"/>
        <sz val="11.0"/>
      </rPr>
      <t>400 Bad Request</t>
    </r>
  </si>
  <si>
    <r>
      <rPr>
        <rFont val="Arial"/>
        <color rgb="FF000000"/>
        <sz val="11.0"/>
      </rPr>
      <t xml:space="preserve">La API devuelve </t>
    </r>
    <r>
      <rPr>
        <rFont val="Arial"/>
        <b/>
        <color rgb="FF000000"/>
        <sz val="11.0"/>
      </rPr>
      <t>200 OK a</t>
    </r>
    <r>
      <rPr>
        <rFont val="Arial"/>
        <color rgb="FF000000"/>
        <sz val="11.0"/>
      </rPr>
      <t xml:space="preserve">nte diferentes solicitudes y no refleja correctamente los datos enviados en el body.
En los casos con </t>
    </r>
    <r>
      <rPr>
        <rFont val="Arial"/>
        <b/>
        <color rgb="FF000000"/>
        <sz val="11.0"/>
      </rPr>
      <t>deliveryTime = 6 y deliveryTime = 22,</t>
    </r>
    <r>
      <rPr>
        <rFont val="Arial"/>
        <color rgb="FF000000"/>
        <sz val="11.0"/>
      </rPr>
      <t xml:space="preserve"> la API devuelve:
Actual: </t>
    </r>
    <r>
      <rPr>
        <rFont val="Arial"/>
        <b/>
        <color rgb="FF000000"/>
        <sz val="11.0"/>
      </rPr>
      <t>isItPossibleToDeliver = true</t>
    </r>
    <r>
      <rPr>
        <rFont val="Arial"/>
        <color rgb="FF000000"/>
        <sz val="11.0"/>
      </rPr>
      <t xml:space="preserve">
cuando debería indicar que la entrega no es posible:
Expected: i</t>
    </r>
    <r>
      <rPr>
        <rFont val="Arial"/>
        <b/>
        <color rgb="FF000000"/>
        <sz val="11.0"/>
      </rPr>
      <t xml:space="preserve">sItPossibleToDeliver = false
</t>
    </r>
    <r>
      <rPr>
        <rFont val="Arial"/>
        <color rgb="FF000000"/>
        <sz val="11.0"/>
      </rPr>
      <t xml:space="preserve">
El defecto se reproduce con diferentes escenarios
deliveryTime = 6
deliveryTime = 22
quantity extrema
quantity ausente
quantity como string
products como objeto
</t>
    </r>
  </si>
  <si>
    <r>
      <rPr>
        <rFont val="Arial"/>
        <color rgb="FF0000FF"/>
        <sz val="11.0"/>
        <u/>
      </rPr>
      <t xml:space="preserve">https://drive.google.com/file/d/1lPBcAXVu8i3oqUatk3-JfeHwG4eZD2qU/view?usp=sharing  
</t>
    </r>
    <r>
      <rPr>
        <rFont val="Arial"/>
        <color rgb="FF1155CC"/>
        <sz val="11.0"/>
        <u/>
      </rPr>
      <t>https://drive.google.com/file/d/1WTup3RTcXyY3Y3HAMDkuofhFQHDOyQh6/view?usp=sharing</t>
    </r>
    <r>
      <rPr>
        <rFont val="Arial"/>
        <color rgb="FF1F1F1F"/>
        <sz val="11.0"/>
        <u/>
      </rPr>
      <t xml:space="preserve"> 
</t>
    </r>
    <r>
      <rPr>
        <rFont val="Arial"/>
        <color rgb="FF1155CC"/>
        <sz val="11.0"/>
        <u/>
      </rPr>
      <t>https://drive.google.com/file/d/16yaop-aVZbsQxLSxQa98UmuA-hu0EwBb/view?usp=sharing</t>
    </r>
    <r>
      <rPr>
        <rFont val="Arial"/>
        <color rgb="FF0000FF"/>
        <sz val="11.0"/>
        <u/>
      </rPr>
      <t xml:space="preserve"> 
</t>
    </r>
    <r>
      <rPr>
        <rFont val="Arial"/>
        <color rgb="FF1155CC"/>
        <sz val="11.0"/>
        <u/>
      </rPr>
      <t>https://drive.google.com/file/d/1luQLCopE6E5pSADtE24XW_jfQBEtNxG5/view?usp=sharing
https://drive.google.com/file/d/11UvvAGAd-uSir-3VrRIWC-a-KbZ8iE9q/view?usp=sharing
https://drive.google.com/file/d/1-s6gn_VbgTOMHlhTUflx-x0Ypk53E6tV/view?usp=sharing</t>
    </r>
  </si>
  <si>
    <t>UG-2-BUG-02</t>
  </si>
  <si>
    <t>UG-2-BUG-03</t>
  </si>
  <si>
    <t>UG-2-BUG-04</t>
  </si>
  <si>
    <t>UG-2-BUG-05</t>
  </si>
  <si>
    <t>UG-2-BUG-06</t>
  </si>
  <si>
    <t>UG-2-BUG-07</t>
  </si>
  <si>
    <t>UG-2-BUG-08</t>
  </si>
  <si>
    <t>UG-2-BUG-09</t>
  </si>
  <si>
    <t>UG-2-BUG-10</t>
  </si>
  <si>
    <t>UG-2-BUG-11</t>
  </si>
  <si>
    <t>UG-2-BUG-12</t>
  </si>
  <si>
    <t>UG-2-BUG-13</t>
  </si>
  <si>
    <t>UG-2-BUG-14</t>
  </si>
  <si>
    <t>UG-2-BUG-15</t>
  </si>
  <si>
    <t>UG-2-BUG-16</t>
  </si>
  <si>
    <t>UG-2-BUG-17</t>
  </si>
  <si>
    <t>UG-2-BUG-18</t>
  </si>
  <si>
    <t>UG-2-BUG-19</t>
  </si>
  <si>
    <t>UG-2-BUG-20</t>
  </si>
  <si>
    <t>UG-2-BUG-21</t>
  </si>
  <si>
    <t>UG-2-BUG-22</t>
  </si>
  <si>
    <t>UG-2-BUG-23</t>
  </si>
  <si>
    <t>UG-2-BUG-24</t>
  </si>
  <si>
    <t>UG-2-BUG-25</t>
  </si>
  <si>
    <t>UG-2-BUG-26</t>
  </si>
  <si>
    <t>UG-2-BUG-27</t>
  </si>
  <si>
    <t>UG-2-BUG-28</t>
  </si>
  <si>
    <t>UG-2-BUG-29</t>
  </si>
  <si>
    <t>UG-2-BUG-30</t>
  </si>
  <si>
    <t>UG-2-BUG-31</t>
  </si>
  <si>
    <t>UG-2-BUG-32</t>
  </si>
  <si>
    <t>UG-2-BUG-33</t>
  </si>
  <si>
    <t>UG-2-BUG-34</t>
  </si>
  <si>
    <t>UG-2-BUG-35</t>
  </si>
  <si>
    <t>UG-2-BUG-36</t>
  </si>
  <si>
    <t>UG-2-BUG-37</t>
  </si>
  <si>
    <t>UG-2-BUG-38</t>
  </si>
  <si>
    <t>UG-2-BUG-39</t>
  </si>
  <si>
    <t>UG-2-BUG-40</t>
  </si>
  <si>
    <t>Carrito de compras · Casos de prueba</t>
  </si>
  <si>
    <t>UG-3 — Gestionar el carrito de compras (Opcional)</t>
  </si>
  <si>
    <t>UG-3-TC-01</t>
  </si>
  <si>
    <t>Crear un carrito de compras con los parámetros correctos</t>
  </si>
  <si>
    <r>
      <rPr>
        <rFont val="Arial"/>
        <color rgb="FF000000"/>
        <sz val="11.0"/>
      </rPr>
      <t xml:space="preserve">La API de Urban Grocers se encuentra activa y disponible. La variable </t>
    </r>
    <r>
      <rPr>
        <rFont val="Arial"/>
        <b/>
        <color rgb="FF000000"/>
        <sz val="11.0"/>
      </rPr>
      <t>{{url-base}}</t>
    </r>
    <r>
      <rPr>
        <rFont val="Arial"/>
        <color rgb="FF000000"/>
        <sz val="11.0"/>
      </rPr>
      <t xml:space="preserve"> está creada y configurada con la</t>
    </r>
    <r>
      <rPr>
        <rFont val="Arial"/>
        <b/>
        <color rgb="FF000000"/>
        <sz val="11.0"/>
      </rPr>
      <t xml:space="preserve"> URL </t>
    </r>
    <r>
      <rPr>
        <rFont val="Arial"/>
        <b/>
        <color rgb="FF000000"/>
        <sz val="11.0"/>
      </rPr>
      <t>https://urban-grocers-es.up.railway.app</t>
    </r>
  </si>
  <si>
    <r>
      <rPr>
        <rFont val="Arial"/>
        <color rgb="FF000000"/>
        <sz val="10.0"/>
      </rPr>
      <t xml:space="preserve">Realizar una solicitud </t>
    </r>
    <r>
      <rPr>
        <rFont val="Arial"/>
        <b/>
        <color rgb="FF000000"/>
        <sz val="10.0"/>
      </rPr>
      <t>POST</t>
    </r>
    <r>
      <rPr>
        <rFont val="Arial"/>
        <color rgb="FF000000"/>
        <sz val="10.0"/>
      </rPr>
      <t xml:space="preserve"> al</t>
    </r>
    <r>
      <rPr>
        <rFont val="Arial"/>
        <b/>
        <color rgb="FF000000"/>
        <sz val="10.0"/>
      </rPr>
      <t xml:space="preserve"> endpoint /api/v1/orders</t>
    </r>
    <r>
      <rPr>
        <rFont val="Arial"/>
        <color rgb="FF000000"/>
        <sz val="10.0"/>
      </rPr>
      <t xml:space="preserve">
en el body poner la siguiente estructura valida:
</t>
    </r>
    <r>
      <rPr>
        <rFont val="Arial"/>
        <b/>
        <color rgb="FF000000"/>
        <sz val="10.0"/>
      </rPr>
      <t>{
  "productsList": [
    {
      "productId": 1,
      "quantity": 2
    },
    {
      "productId": 5,
      "quantity": 2
    }
  ]
}</t>
    </r>
  </si>
  <si>
    <t>La API crea correctamente el carrito de compras y devuelve la información del carrito con los productos enviados.</t>
  </si>
  <si>
    <t>UG-3-TC-02</t>
  </si>
  <si>
    <t>Crear un carrito de compras sin el parametro quantity obligatorio  en la estructura</t>
  </si>
  <si>
    <r>
      <rPr>
        <rFont val="Arial"/>
        <color rgb="FF000000"/>
        <sz val="11.0"/>
      </rPr>
      <t xml:space="preserve">La API de Urban Grocers se encuentra activa y disponible. La variable </t>
    </r>
    <r>
      <rPr>
        <rFont val="Arial"/>
        <b/>
        <color rgb="FF000000"/>
        <sz val="11.0"/>
      </rPr>
      <t xml:space="preserve">{{url-base}} </t>
    </r>
    <r>
      <rPr>
        <rFont val="Arial"/>
        <color rgb="FF000000"/>
        <sz val="11.0"/>
      </rPr>
      <t xml:space="preserve">está creada y configurada con la </t>
    </r>
    <r>
      <rPr>
        <rFont val="Arial"/>
        <b/>
        <color rgb="FF000000"/>
        <sz val="11.0"/>
      </rPr>
      <t xml:space="preserve">URL </t>
    </r>
    <r>
      <rPr>
        <rFont val="Arial"/>
        <color rgb="FF000000"/>
        <sz val="10.0"/>
      </rPr>
      <t>https://urban-grocers-es.up.railway.app</t>
    </r>
  </si>
  <si>
    <r>
      <rPr>
        <rFont val="Arial"/>
        <color rgb="FF000000"/>
        <sz val="10.0"/>
      </rPr>
      <t xml:space="preserve">Realizar una solicitud </t>
    </r>
    <r>
      <rPr>
        <rFont val="Arial"/>
        <b/>
        <color rgb="FF000000"/>
        <sz val="10.0"/>
      </rPr>
      <t>POST</t>
    </r>
    <r>
      <rPr>
        <rFont val="Arial"/>
        <color rgb="FF000000"/>
        <sz val="10.0"/>
      </rPr>
      <t xml:space="preserve"> al</t>
    </r>
    <r>
      <rPr>
        <rFont val="Arial"/>
        <b/>
        <color rgb="FF000000"/>
        <sz val="10.0"/>
      </rPr>
      <t xml:space="preserve"> endpoint /api/v1/orders</t>
    </r>
    <r>
      <rPr>
        <rFont val="Arial"/>
        <color rgb="FF000000"/>
        <sz val="10.0"/>
      </rPr>
      <t xml:space="preserve">
en el body poner la siguiente estructura:
</t>
    </r>
    <r>
      <rPr>
        <rFont val="Arial"/>
        <b/>
        <color rgb="FF000000"/>
        <sz val="10.0"/>
      </rPr>
      <t>{
  "productsList": [
    {
      "productId": 1
    },
    {
      "productId": 5
    }
  ]
}</t>
    </r>
  </si>
  <si>
    <r>
      <rPr>
        <rFont val="Arial"/>
        <color rgb="FF000000"/>
        <sz val="10.0"/>
      </rPr>
      <t xml:space="preserve">La API devuelve </t>
    </r>
    <r>
      <rPr>
        <rFont val="Arial"/>
        <b/>
        <color rgb="FF000000"/>
        <sz val="10.0"/>
      </rPr>
      <t>400 Bad Request</t>
    </r>
    <r>
      <rPr>
        <rFont val="Arial"/>
        <color rgb="FF000000"/>
        <sz val="10.0"/>
      </rPr>
      <t xml:space="preserve"> con el mensaje “No se han aprobado todos los parámetros requeridos”.</t>
    </r>
  </si>
  <si>
    <t>UG-3-BUG-01</t>
  </si>
  <si>
    <t>UG-3-TC-03</t>
  </si>
  <si>
    <t>Agregar un producto diferente a un carrito de compras existente</t>
  </si>
  <si>
    <r>
      <rPr>
        <rFont val="Arial"/>
        <color rgb="FF000000"/>
        <sz val="11.0"/>
      </rPr>
      <t xml:space="preserve">La API de Urban Grocers se encuentra activa y disponible. La variable </t>
    </r>
    <r>
      <rPr>
        <rFont val="Arial"/>
        <b/>
        <color rgb="FF000000"/>
        <sz val="11.0"/>
      </rPr>
      <t xml:space="preserve">{{url-base}} </t>
    </r>
    <r>
      <rPr>
        <rFont val="Arial"/>
        <color rgb="FF000000"/>
        <sz val="11.0"/>
      </rPr>
      <t xml:space="preserve">está creada y configurada con la </t>
    </r>
    <r>
      <rPr>
        <rFont val="Arial"/>
        <b/>
        <color rgb="FF000000"/>
        <sz val="11.0"/>
      </rPr>
      <t xml:space="preserve">URL https://urban-grocers-es.up.railway.app
</t>
    </r>
    <r>
      <rPr>
        <rFont val="Arial"/>
        <color rgb="FF000000"/>
        <sz val="11.0"/>
      </rPr>
      <t>-Contar con un carrito de compras previamente creado con al menos un producto  y conservar su</t>
    </r>
    <r>
      <rPr>
        <rFont val="Arial"/>
        <b/>
        <color rgb="FF000000"/>
        <sz val="11.0"/>
      </rPr>
      <t xml:space="preserve"> ID</t>
    </r>
    <r>
      <rPr>
        <rFont val="Arial"/>
        <color rgb="FF000000"/>
        <sz val="11.0"/>
      </rPr>
      <t xml:space="preserve"> para utilizarlo en la petición </t>
    </r>
    <r>
      <rPr>
        <rFont val="Arial"/>
        <b/>
        <color rgb="FF000000"/>
        <sz val="11.0"/>
      </rPr>
      <t>PUT</t>
    </r>
    <r>
      <rPr>
        <rFont val="Arial"/>
        <color rgb="FF000000"/>
        <sz val="11.0"/>
      </rPr>
      <t>. 
-Conservar el</t>
    </r>
    <r>
      <rPr>
        <rFont val="Arial"/>
        <b/>
        <color rgb="FF000000"/>
        <sz val="11.0"/>
      </rPr>
      <t xml:space="preserve"> ID </t>
    </r>
    <r>
      <rPr>
        <rFont val="Arial"/>
        <color rgb="FF000000"/>
        <sz val="11.0"/>
      </rPr>
      <t>del carrito y disponer de un producto válido que no se encuentre actualmente en el carrito para realizar la prueba de agregar.</t>
    </r>
  </si>
  <si>
    <r>
      <rPr>
        <rFont val="Arial"/>
        <color rgb="FF000000"/>
        <sz val="10.0"/>
      </rPr>
      <t xml:space="preserve">Realizar una solicitud </t>
    </r>
    <r>
      <rPr>
        <rFont val="Arial"/>
        <b/>
        <color rgb="FF000000"/>
        <sz val="10.0"/>
      </rPr>
      <t>PUT al endpoint /api/v1/orders/{id},</t>
    </r>
    <r>
      <rPr>
        <rFont val="Arial"/>
        <color rgb="FF000000"/>
        <sz val="10.0"/>
      </rPr>
      <t xml:space="preserve"> reemplazando</t>
    </r>
    <r>
      <rPr>
        <rFont val="Arial"/>
        <b/>
        <color rgb="FF000000"/>
        <sz val="10.0"/>
      </rPr>
      <t xml:space="preserve"> {id} </t>
    </r>
    <r>
      <rPr>
        <rFont val="Arial"/>
        <color rgb="FF000000"/>
        <sz val="10.0"/>
      </rPr>
      <t>por el</t>
    </r>
    <r>
      <rPr>
        <rFont val="Arial"/>
        <b/>
        <color rgb="FF000000"/>
        <sz val="10.0"/>
      </rPr>
      <t xml:space="preserve"> ID </t>
    </r>
    <r>
      <rPr>
        <rFont val="Arial"/>
        <color rgb="FF000000"/>
        <sz val="10.0"/>
      </rPr>
      <t xml:space="preserve">del carrito existente. En el body, enviar un producto válido que no se encuentre actualmente en el carrito, utilizando un </t>
    </r>
    <r>
      <rPr>
        <rFont val="Arial"/>
        <b/>
        <color rgb="FF000000"/>
        <sz val="10.0"/>
      </rPr>
      <t>productId</t>
    </r>
    <r>
      <rPr>
        <rFont val="Arial"/>
        <color rgb="FF000000"/>
        <sz val="10.0"/>
      </rPr>
      <t xml:space="preserve"> y</t>
    </r>
    <r>
      <rPr>
        <rFont val="Arial"/>
        <b/>
        <color rgb="FF000000"/>
        <sz val="10.0"/>
      </rPr>
      <t xml:space="preserve"> quantity </t>
    </r>
    <r>
      <rPr>
        <rFont val="Arial"/>
        <color rgb="FF000000"/>
        <sz val="10.0"/>
      </rPr>
      <t xml:space="preserve">válidos con esta estructura.
</t>
    </r>
    <r>
      <rPr>
        <rFont val="Arial"/>
        <b/>
        <color rgb="FF000000"/>
        <sz val="10.0"/>
      </rPr>
      <t>{
  "productsList": [
    {
      "productId": &lt;ID-Producto&gt;,
      "quantity": &lt;Cantidad&gt;
    }
  ]
}</t>
    </r>
  </si>
  <si>
    <t>La API devuelve el estado 200 OK con el ccarrito actualizado de manera correcta</t>
  </si>
  <si>
    <t>UG-3-TC-04</t>
  </si>
  <si>
    <t>Actualizar la cantidad de un producto en un carrito de compras existente</t>
  </si>
  <si>
    <r>
      <rPr>
        <rFont val="Arial"/>
        <color rgb="FF000000"/>
        <sz val="10.0"/>
      </rPr>
      <t xml:space="preserve">La API de Urban Grocers se encuentra activa y disponible. La variable </t>
    </r>
    <r>
      <rPr>
        <rFont val="Arial"/>
        <b/>
        <color rgb="FF000000"/>
        <sz val="10.0"/>
      </rPr>
      <t xml:space="preserve">{{url-base}} </t>
    </r>
    <r>
      <rPr>
        <rFont val="Arial"/>
        <color rgb="FF000000"/>
        <sz val="10.0"/>
      </rPr>
      <t xml:space="preserve">está creada y configurada con la </t>
    </r>
    <r>
      <rPr>
        <rFont val="Arial"/>
        <b/>
        <color rgb="FF000000"/>
        <sz val="10.0"/>
      </rPr>
      <t xml:space="preserve">URL https://urban-grocers-es.up.railway.app
</t>
    </r>
    <r>
      <rPr>
        <rFont val="Arial"/>
        <color rgb="FF000000"/>
        <sz val="10.0"/>
      </rPr>
      <t xml:space="preserve">-Contar con un carrito de compras previamente creado con al menos un producto  y conservar su ID para utilizarlo en la petición </t>
    </r>
    <r>
      <rPr>
        <rFont val="Arial"/>
        <b/>
        <color rgb="FF000000"/>
        <sz val="10.0"/>
      </rPr>
      <t>PUT.</t>
    </r>
    <r>
      <rPr>
        <rFont val="Arial"/>
        <color rgb="FF000000"/>
        <sz val="10.0"/>
      </rPr>
      <t xml:space="preserve"> 
-Conservar el </t>
    </r>
    <r>
      <rPr>
        <rFont val="Arial"/>
        <b/>
        <color rgb="FF000000"/>
        <sz val="10.0"/>
      </rPr>
      <t xml:space="preserve">ID </t>
    </r>
    <r>
      <rPr>
        <rFont val="Arial"/>
        <color rgb="FF000000"/>
        <sz val="10.0"/>
      </rPr>
      <t xml:space="preserve">del carrito y el </t>
    </r>
    <r>
      <rPr>
        <rFont val="Arial"/>
        <b/>
        <color rgb="FF000000"/>
        <sz val="10.0"/>
      </rPr>
      <t xml:space="preserve">prodcuto </t>
    </r>
    <r>
      <rPr>
        <rFont val="Arial"/>
        <color rgb="FF000000"/>
        <sz val="10.0"/>
      </rPr>
      <t>creado dentro del carrito de compras para realizar la prueba de  Actualizar.</t>
    </r>
  </si>
  <si>
    <r>
      <rPr>
        <rFont val="Arial"/>
        <color rgb="FF000000"/>
      </rPr>
      <t xml:space="preserve">Realizar una solicitud </t>
    </r>
    <r>
      <rPr>
        <rFont val="Arial"/>
        <b/>
        <color rgb="FF000000"/>
      </rPr>
      <t>PUT al endpoint /api/v1/orders/{id}</t>
    </r>
    <r>
      <rPr>
        <rFont val="Arial"/>
        <color rgb="FF000000"/>
      </rPr>
      <t xml:space="preserve">, reemplazando </t>
    </r>
    <r>
      <rPr>
        <rFont val="Arial"/>
        <b/>
        <color rgb="FF000000"/>
      </rPr>
      <t xml:space="preserve">{id} </t>
    </r>
    <r>
      <rPr>
        <rFont val="Arial"/>
        <color rgb="FF000000"/>
      </rPr>
      <t xml:space="preserve">por el ID del carrito existente. En el body, enviar el </t>
    </r>
    <r>
      <rPr>
        <rFont val="Arial"/>
        <b/>
        <color rgb="FF000000"/>
      </rPr>
      <t xml:space="preserve">productId </t>
    </r>
    <r>
      <rPr>
        <rFont val="Arial"/>
        <color rgb="FF000000"/>
      </rPr>
      <t xml:space="preserve">de un producto existente en el carrito y una cantidad  diferente a la cantidad actual  con esta estructura:
</t>
    </r>
    <r>
      <rPr>
        <rFont val="Arial"/>
        <b/>
        <color rgb="FF000000"/>
      </rPr>
      <t>{
  "productsList": [
    {
      "productId": &lt;ID-Producto&gt;,
      "quantity": &lt;Nueva-Cantidad&gt;
    }
  ]
}.</t>
    </r>
  </si>
  <si>
    <t>La API devuelve el estado 200 OK con el carrito actualizado de manera correcta</t>
  </si>
  <si>
    <t>UG-3-TC-05</t>
  </si>
  <si>
    <t>Agregar un producto a un carrito de compras inexistente</t>
  </si>
  <si>
    <r>
      <rPr>
        <rFont val="Arial"/>
        <color rgb="FF000000"/>
        <sz val="10.0"/>
      </rPr>
      <t xml:space="preserve">La API de Urban Grocers se encuentra activa y disponible. La variable </t>
    </r>
    <r>
      <rPr>
        <rFont val="Arial"/>
        <b/>
        <color rgb="FF000000"/>
        <sz val="10.0"/>
      </rPr>
      <t xml:space="preserve">{{url-base}} </t>
    </r>
    <r>
      <rPr>
        <rFont val="Arial"/>
        <color rgb="FF000000"/>
        <sz val="10.0"/>
      </rPr>
      <t xml:space="preserve">está creada y configurada con la </t>
    </r>
    <r>
      <rPr>
        <rFont val="Arial"/>
        <b/>
        <color rgb="FF000000"/>
        <sz val="10.0"/>
      </rPr>
      <t xml:space="preserve">URL https://urban-grocers-es.up.railway.app
</t>
    </r>
    <r>
      <rPr>
        <rFont val="Arial"/>
        <color rgb="FF000000"/>
        <sz val="10.0"/>
      </rPr>
      <t>y el I</t>
    </r>
    <r>
      <rPr>
        <rFont val="Arial"/>
        <b/>
        <color rgb="FF000000"/>
        <sz val="10.0"/>
      </rPr>
      <t xml:space="preserve">D 40 </t>
    </r>
    <r>
      <rPr>
        <rFont val="Arial"/>
        <color rgb="FF000000"/>
        <sz val="10.0"/>
      </rPr>
      <t>no existe</t>
    </r>
  </si>
  <si>
    <r>
      <rPr>
        <rFont val="Arial"/>
        <color rgb="FF000000"/>
        <sz val="10.0"/>
      </rPr>
      <t xml:space="preserve">Realizar una solicitud </t>
    </r>
    <r>
      <rPr>
        <rFont val="Arial"/>
        <b/>
        <color rgb="FF000000"/>
        <sz val="10.0"/>
      </rPr>
      <t>PUT</t>
    </r>
    <r>
      <rPr>
        <rFont val="Arial"/>
        <color rgb="FF000000"/>
        <sz val="10.0"/>
      </rPr>
      <t xml:space="preserve"> al</t>
    </r>
    <r>
      <rPr>
        <rFont val="Arial"/>
        <b/>
        <color rgb="FF000000"/>
        <sz val="10.0"/>
      </rPr>
      <t xml:space="preserve"> endpoint /api/v1/orders/40</t>
    </r>
    <r>
      <rPr>
        <rFont val="Arial"/>
        <color rgb="FF000000"/>
        <sz val="10.0"/>
      </rPr>
      <t xml:space="preserve">
en el body poner la siguiente estructura valida:
</t>
    </r>
    <r>
      <rPr>
        <rFont val="Arial"/>
        <b/>
        <color rgb="FF000000"/>
        <sz val="10.0"/>
      </rPr>
      <t>{
  "productsList": [
    {
      "productId": 3,
      "quantity": 2
    }
  ]
}</t>
    </r>
  </si>
  <si>
    <t>La API devuelve un estado 404 Not Found.</t>
  </si>
  <si>
    <t>UG-3-TC-06</t>
  </si>
  <si>
    <t>Actualizar un producto en un carrito de compras inexistente</t>
  </si>
  <si>
    <r>
      <rPr>
        <rFont val="Arial"/>
        <color rgb="FF000000"/>
        <sz val="10.0"/>
      </rPr>
      <t xml:space="preserve">La API de Urban Grocers se encuentra activa y disponible. La variable </t>
    </r>
    <r>
      <rPr>
        <rFont val="Arial"/>
        <b/>
        <color rgb="FF000000"/>
        <sz val="10.0"/>
      </rPr>
      <t xml:space="preserve">{{url-base}} </t>
    </r>
    <r>
      <rPr>
        <rFont val="Arial"/>
        <color rgb="FF000000"/>
        <sz val="10.0"/>
      </rPr>
      <t xml:space="preserve">está creada y configurada con la </t>
    </r>
    <r>
      <rPr>
        <rFont val="Arial"/>
        <b/>
        <color rgb="FF000000"/>
        <sz val="10.0"/>
      </rPr>
      <t xml:space="preserve">URL https://urban-grocers-es.up.railway.app
</t>
    </r>
    <r>
      <rPr>
        <rFont val="Arial"/>
        <color rgb="FF000000"/>
        <sz val="10.0"/>
      </rPr>
      <t xml:space="preserve">y el </t>
    </r>
    <r>
      <rPr>
        <rFont val="Arial"/>
        <b/>
        <color rgb="FF000000"/>
        <sz val="10.0"/>
      </rPr>
      <t>ID 40</t>
    </r>
    <r>
      <rPr>
        <rFont val="Arial"/>
        <color rgb="FF000000"/>
        <sz val="10.0"/>
      </rPr>
      <t xml:space="preserve"> no existe</t>
    </r>
  </si>
  <si>
    <r>
      <rPr>
        <rFont val="Arial"/>
        <color rgb="FF000000"/>
        <sz val="10.0"/>
      </rPr>
      <t xml:space="preserve">Realizar una solicitud </t>
    </r>
    <r>
      <rPr>
        <rFont val="Arial"/>
        <b/>
        <color rgb="FF000000"/>
        <sz val="10.0"/>
      </rPr>
      <t xml:space="preserve">PUT </t>
    </r>
    <r>
      <rPr>
        <rFont val="Arial"/>
        <color rgb="FF000000"/>
        <sz val="10.0"/>
      </rPr>
      <t xml:space="preserve">al </t>
    </r>
    <r>
      <rPr>
        <rFont val="Arial"/>
        <b/>
        <color rgb="FF000000"/>
        <sz val="10.0"/>
      </rPr>
      <t>endpoint</t>
    </r>
    <r>
      <rPr>
        <rFont val="Arial"/>
        <color rgb="FF000000"/>
        <sz val="10.0"/>
      </rPr>
      <t xml:space="preserve"> </t>
    </r>
    <r>
      <rPr>
        <rFont val="Arial"/>
        <b/>
        <color rgb="FF000000"/>
        <sz val="10.0"/>
      </rPr>
      <t>/api/v1/orders/40</t>
    </r>
    <r>
      <rPr>
        <rFont val="Arial"/>
        <color rgb="FF000000"/>
        <sz val="10.0"/>
      </rPr>
      <t xml:space="preserve">
en el body poner la siguiente estructura valida:
</t>
    </r>
    <r>
      <rPr>
        <rFont val="Arial"/>
        <b/>
        <color rgb="FF000000"/>
        <sz val="10.0"/>
      </rPr>
      <t xml:space="preserve">
{
  "productsList": [
    {
      "productId": 1,
      "quantity": 4
    },
    {
      "productId": 5,
      "quantity": 4
    }
  ]
}</t>
    </r>
  </si>
  <si>
    <t>UG-3-TC-07</t>
  </si>
  <si>
    <r>
      <rPr>
        <rFont val="Arial"/>
        <color rgb="FF000000"/>
        <sz val="11.0"/>
      </rPr>
      <t xml:space="preserve">Solicitar productos con </t>
    </r>
    <r>
      <rPr>
        <rFont val="Arial"/>
        <b/>
        <color rgb="FF000000"/>
        <sz val="11.0"/>
      </rPr>
      <t xml:space="preserve">Authorization: Bearer {authToken} </t>
    </r>
    <r>
      <rPr>
        <rFont val="Arial"/>
        <color rgb="FF000000"/>
        <sz val="11.0"/>
      </rPr>
      <t xml:space="preserve">de un carrito existente </t>
    </r>
  </si>
  <si>
    <r>
      <rPr>
        <rFont val="Arial"/>
        <color rgb="FF000000"/>
        <sz val="11.0"/>
      </rPr>
      <t xml:space="preserve">La API de Urban Grocers se encuentra activa y disponible. La variable </t>
    </r>
    <r>
      <rPr>
        <rFont val="Arial"/>
        <b/>
        <color rgb="FF000000"/>
        <sz val="11.0"/>
      </rPr>
      <t xml:space="preserve">{{url-base}} </t>
    </r>
    <r>
      <rPr>
        <rFont val="Arial"/>
        <color rgb="FF000000"/>
        <sz val="11.0"/>
      </rPr>
      <t xml:space="preserve">está creada y configurada con la </t>
    </r>
    <r>
      <rPr>
        <rFont val="Arial"/>
        <b/>
        <color rgb="FF000000"/>
        <sz val="11.0"/>
      </rPr>
      <t xml:space="preserve">URL https://urban-grocers-es.up.railway.app
</t>
    </r>
    <r>
      <rPr>
        <rFont val="Arial"/>
        <color rgb="FF000000"/>
        <sz val="11.0"/>
      </rPr>
      <t>-Contar con un usuario previamente creado y conservar su</t>
    </r>
    <r>
      <rPr>
        <rFont val="Arial"/>
        <b/>
        <color rgb="FF000000"/>
        <sz val="11.0"/>
      </rPr>
      <t xml:space="preserve"> token </t>
    </r>
    <r>
      <rPr>
        <rFont val="Arial"/>
        <color rgb="FF000000"/>
        <sz val="11.0"/>
      </rPr>
      <t xml:space="preserve">de autenticación.
-Contar con un carrito de compras previamente creado y conservar su </t>
    </r>
    <r>
      <rPr>
        <rFont val="Arial"/>
        <b/>
        <color rgb="FF000000"/>
        <sz val="11.0"/>
      </rPr>
      <t>ID</t>
    </r>
    <r>
      <rPr>
        <rFont val="Arial"/>
        <color rgb="FF000000"/>
        <sz val="11.0"/>
      </rPr>
      <t xml:space="preserve"> para utilizarlo en la petición </t>
    </r>
    <r>
      <rPr>
        <rFont val="Arial"/>
        <b/>
        <color rgb="FF000000"/>
        <sz val="11.0"/>
      </rPr>
      <t>GET.</t>
    </r>
    <r>
      <rPr>
        <rFont val="Arial"/>
        <color rgb="FF000000"/>
        <sz val="11.0"/>
      </rPr>
      <t xml:space="preserve">
</t>
    </r>
  </si>
  <si>
    <r>
      <rPr>
        <rFont val="Arial"/>
        <color rgb="FF000000"/>
        <sz val="11.0"/>
      </rPr>
      <t xml:space="preserve">Realizar una solicitud </t>
    </r>
    <r>
      <rPr>
        <rFont val="Arial"/>
        <b/>
        <color rgb="FF000000"/>
        <sz val="11.0"/>
      </rPr>
      <t>GET</t>
    </r>
    <r>
      <rPr>
        <rFont val="Arial"/>
        <color rgb="FF000000"/>
        <sz val="11.0"/>
      </rPr>
      <t xml:space="preserve"> al</t>
    </r>
    <r>
      <rPr>
        <rFont val="Arial"/>
        <b/>
        <color rgb="FF000000"/>
        <sz val="11.0"/>
      </rPr>
      <t xml:space="preserve"> endpoint /api/v1/orders/{id}</t>
    </r>
    <r>
      <rPr>
        <rFont val="Arial"/>
        <color rgb="FF000000"/>
        <sz val="11.0"/>
      </rPr>
      <t xml:space="preserve">
Remplazar el </t>
    </r>
    <r>
      <rPr>
        <rFont val="Arial"/>
        <b/>
        <color rgb="FF000000"/>
        <sz val="11.0"/>
      </rPr>
      <t>{id}</t>
    </r>
    <r>
      <rPr>
        <rFont val="Arial"/>
        <color rgb="FF000000"/>
        <sz val="11.0"/>
      </rPr>
      <t xml:space="preserve">, por el </t>
    </r>
    <r>
      <rPr>
        <rFont val="Arial"/>
        <b/>
        <color rgb="FF000000"/>
        <sz val="11.0"/>
      </rPr>
      <t>Id,</t>
    </r>
    <r>
      <rPr>
        <rFont val="Arial"/>
        <color rgb="FF000000"/>
        <sz val="11.0"/>
      </rPr>
      <t xml:space="preserve"> del carrito creado y en el </t>
    </r>
    <r>
      <rPr>
        <rFont val="Arial"/>
        <b/>
        <color rgb="FF000000"/>
        <sz val="11.0"/>
      </rPr>
      <t xml:space="preserve">HEADER </t>
    </r>
    <r>
      <rPr>
        <rFont val="Arial"/>
        <color rgb="FF000000"/>
        <sz val="11.0"/>
      </rPr>
      <t xml:space="preserve"> crear un 
</t>
    </r>
    <r>
      <rPr>
        <rFont val="Arial"/>
        <b/>
        <color rgb="FF000000"/>
        <sz val="11.0"/>
      </rPr>
      <t xml:space="preserve">Authorization: Bearer {authToken} </t>
    </r>
    <r>
      <rPr>
        <rFont val="Arial"/>
        <color rgb="FF000000"/>
        <sz val="11.0"/>
      </rPr>
      <t>Reemplazando</t>
    </r>
    <r>
      <rPr>
        <rFont val="Arial"/>
        <b/>
        <color rgb="FF000000"/>
        <sz val="11.0"/>
      </rPr>
      <t xml:space="preserve"> el {authToken} </t>
    </r>
    <r>
      <rPr>
        <rFont val="Arial"/>
        <color rgb="FF000000"/>
        <sz val="11.0"/>
      </rPr>
      <t xml:space="preserve">con el token del usuario creado anteriormente.
</t>
    </r>
  </si>
  <si>
    <t>La API debe devolver los productos solictados de manera correcta</t>
  </si>
  <si>
    <t>UG-3-TC-08</t>
  </si>
  <si>
    <r>
      <rPr>
        <rFont val="Arial"/>
        <color rgb="FF000000"/>
        <sz val="10.0"/>
      </rPr>
      <t xml:space="preserve">Solicitar productos sin  </t>
    </r>
    <r>
      <rPr>
        <rFont val="Arial"/>
        <b/>
        <color rgb="FF000000"/>
        <sz val="10.0"/>
      </rPr>
      <t>Authorization: Bearer {authToken}</t>
    </r>
    <r>
      <rPr>
        <rFont val="Arial"/>
        <color rgb="FF000000"/>
        <sz val="10.0"/>
      </rPr>
      <t xml:space="preserve"> de un carrito existente </t>
    </r>
  </si>
  <si>
    <r>
      <rPr>
        <rFont val="Arial"/>
        <color rgb="FF000000"/>
        <sz val="11.0"/>
      </rPr>
      <t xml:space="preserve">La API de Urban Grocers se encuentra activa y disponible. La variable </t>
    </r>
    <r>
      <rPr>
        <rFont val="Arial"/>
        <b/>
        <color rgb="FF000000"/>
        <sz val="11.0"/>
      </rPr>
      <t xml:space="preserve">{{url-base}} </t>
    </r>
    <r>
      <rPr>
        <rFont val="Arial"/>
        <color rgb="FF000000"/>
        <sz val="11.0"/>
      </rPr>
      <t xml:space="preserve">está creada y configurada con la </t>
    </r>
    <r>
      <rPr>
        <rFont val="Arial"/>
        <b/>
        <color rgb="FF000000"/>
        <sz val="11.0"/>
      </rPr>
      <t xml:space="preserve">URL https://urban-grocers-es.up.railway.app
</t>
    </r>
    <r>
      <rPr>
        <rFont val="Arial"/>
        <color rgb="FF000000"/>
        <sz val="11.0"/>
      </rPr>
      <t xml:space="preserve">-Contar con un carrito de compras previamente creado y conservar su </t>
    </r>
    <r>
      <rPr>
        <rFont val="Arial"/>
        <b/>
        <color rgb="FF000000"/>
        <sz val="11.0"/>
      </rPr>
      <t>ID</t>
    </r>
    <r>
      <rPr>
        <rFont val="Arial"/>
        <color rgb="FF000000"/>
        <sz val="11.0"/>
      </rPr>
      <t xml:space="preserve"> para utilizarlo en la petición</t>
    </r>
    <r>
      <rPr>
        <rFont val="Arial"/>
        <b/>
        <color rgb="FF000000"/>
        <sz val="11.0"/>
      </rPr>
      <t xml:space="preserve"> GET.</t>
    </r>
    <r>
      <rPr>
        <rFont val="Arial"/>
        <color rgb="FF000000"/>
        <sz val="11.0"/>
      </rPr>
      <t xml:space="preserve">
</t>
    </r>
  </si>
  <si>
    <r>
      <rPr>
        <rFont val="Arial"/>
        <color rgb="FF000000"/>
        <sz val="11.0"/>
      </rPr>
      <t xml:space="preserve">Realizar una solicitud </t>
    </r>
    <r>
      <rPr>
        <rFont val="Arial"/>
        <b/>
        <color rgb="FF000000"/>
        <sz val="11.0"/>
      </rPr>
      <t>GET</t>
    </r>
    <r>
      <rPr>
        <rFont val="Arial"/>
        <color rgb="FF000000"/>
        <sz val="11.0"/>
      </rPr>
      <t xml:space="preserve"> al</t>
    </r>
    <r>
      <rPr>
        <rFont val="Arial"/>
        <b/>
        <color rgb="FF000000"/>
        <sz val="11.0"/>
      </rPr>
      <t xml:space="preserve"> endpoint /api/v1/orders/{id}</t>
    </r>
    <r>
      <rPr>
        <rFont val="Arial"/>
        <color rgb="FF000000"/>
        <sz val="11.0"/>
      </rPr>
      <t xml:space="preserve">
Reemplazar el </t>
    </r>
    <r>
      <rPr>
        <rFont val="Arial"/>
        <b/>
        <color rgb="FF000000"/>
        <sz val="11.0"/>
      </rPr>
      <t>{id}</t>
    </r>
    <r>
      <rPr>
        <rFont val="Arial"/>
        <color rgb="FF000000"/>
        <sz val="11.0"/>
      </rPr>
      <t>, por el Id, del carriito creado.</t>
    </r>
  </si>
  <si>
    <t>La API devuelve 401 Unauthorized por el token no estar presente</t>
  </si>
  <si>
    <t>UG-3-BUG-02</t>
  </si>
  <si>
    <t>UG-3-TC-09</t>
  </si>
  <si>
    <r>
      <rPr>
        <rFont val="Arial"/>
        <color rgb="FF000000"/>
        <sz val="11.0"/>
      </rPr>
      <t xml:space="preserve">Eliminar un carrito de compras existente al hacer la petición con </t>
    </r>
    <r>
      <rPr>
        <rFont val="Arial"/>
        <b/>
        <color rgb="FF000000"/>
        <sz val="11.0"/>
      </rPr>
      <t>DELETE</t>
    </r>
  </si>
  <si>
    <r>
      <rPr>
        <rFont val="Arial"/>
        <color rgb="FF000000"/>
        <sz val="11.0"/>
      </rPr>
      <t xml:space="preserve">La API de Urban Grocers se encuentra activa y disponible. La variable </t>
    </r>
    <r>
      <rPr>
        <rFont val="Arial"/>
        <b/>
        <color rgb="FF000000"/>
        <sz val="11.0"/>
      </rPr>
      <t xml:space="preserve">{{url-base}} </t>
    </r>
    <r>
      <rPr>
        <rFont val="Arial"/>
        <color rgb="FF000000"/>
        <sz val="11.0"/>
      </rPr>
      <t xml:space="preserve">está creada y configurada con la </t>
    </r>
    <r>
      <rPr>
        <rFont val="Arial"/>
        <b/>
        <color rgb="FF000000"/>
        <sz val="11.0"/>
      </rPr>
      <t xml:space="preserve">URL https://urban-grocers-es.up.railway.app
</t>
    </r>
    <r>
      <rPr>
        <rFont val="Arial"/>
        <color rgb="FF000000"/>
        <sz val="11.0"/>
      </rPr>
      <t xml:space="preserve">-Contar con un carrito de compras previamente creado y conservar su </t>
    </r>
    <r>
      <rPr>
        <rFont val="Arial"/>
        <b/>
        <color rgb="FF000000"/>
        <sz val="11.0"/>
      </rPr>
      <t>ID</t>
    </r>
    <r>
      <rPr>
        <rFont val="Arial"/>
        <color rgb="FF000000"/>
        <sz val="11.0"/>
      </rPr>
      <t xml:space="preserve"> para utilizarlo en la petición </t>
    </r>
    <r>
      <rPr>
        <rFont val="Arial"/>
        <b/>
        <color rgb="FF000000"/>
        <sz val="11.0"/>
      </rPr>
      <t>DELETE.</t>
    </r>
    <r>
      <rPr>
        <rFont val="Arial"/>
        <color rgb="FF000000"/>
        <sz val="11.0"/>
      </rPr>
      <t xml:space="preserve">
</t>
    </r>
  </si>
  <si>
    <r>
      <rPr>
        <rFont val="Arial"/>
        <color rgb="FF000000"/>
        <sz val="11.0"/>
      </rPr>
      <t xml:space="preserve">Realizar una solicitud </t>
    </r>
    <r>
      <rPr>
        <rFont val="Arial"/>
        <b/>
        <color rgb="FF000000"/>
        <sz val="11.0"/>
      </rPr>
      <t>DELETE</t>
    </r>
    <r>
      <rPr>
        <rFont val="Arial"/>
        <color rgb="FF000000"/>
        <sz val="11.0"/>
      </rPr>
      <t xml:space="preserve"> al</t>
    </r>
    <r>
      <rPr>
        <rFont val="Arial"/>
        <b/>
        <color rgb="FF000000"/>
        <sz val="11.0"/>
      </rPr>
      <t xml:space="preserve"> endpoint /api/v1/orders/{id}</t>
    </r>
    <r>
      <rPr>
        <rFont val="Arial"/>
        <color rgb="FF000000"/>
        <sz val="11.0"/>
      </rPr>
      <t xml:space="preserve">
Reemplazar el </t>
    </r>
    <r>
      <rPr>
        <rFont val="Arial"/>
        <b/>
        <color rgb="FF000000"/>
        <sz val="11.0"/>
      </rPr>
      <t>{id}</t>
    </r>
    <r>
      <rPr>
        <rFont val="Arial"/>
        <color rgb="FF000000"/>
        <sz val="11.0"/>
      </rPr>
      <t>, por el Id, del carriito creado.</t>
    </r>
  </si>
  <si>
    <t>La API devuelve 200 OK con un mensaje
 {"ok": true}</t>
  </si>
  <si>
    <t>UG-3-BUG-03</t>
  </si>
  <si>
    <t>UG-3-TC-10</t>
  </si>
  <si>
    <r>
      <rPr>
        <rFont val="Arial"/>
        <color rgb="FF000000"/>
        <sz val="10.0"/>
      </rPr>
      <t xml:space="preserve">Confirmar pedido realizado en el carrito de compras con
 </t>
    </r>
    <r>
      <rPr>
        <rFont val="Arial"/>
        <b/>
        <color rgb="FF000000"/>
        <sz val="10.0"/>
      </rPr>
      <t xml:space="preserve">Authorization: Bearer {authToken} </t>
    </r>
  </si>
  <si>
    <r>
      <rPr>
        <rFont val="Arial"/>
        <color rgb="FF000000"/>
        <sz val="10.0"/>
      </rPr>
      <t xml:space="preserve">La API de Urban Grocers se encuentra activa y disponible. La variable </t>
    </r>
    <r>
      <rPr>
        <rFont val="Arial"/>
        <b/>
        <color rgb="FF000000"/>
        <sz val="10.0"/>
      </rPr>
      <t>{{url-base}}</t>
    </r>
    <r>
      <rPr>
        <rFont val="Arial"/>
        <color rgb="FF000000"/>
        <sz val="10.0"/>
      </rPr>
      <t xml:space="preserve"> está creada y configurada con la</t>
    </r>
    <r>
      <rPr>
        <rFont val="Arial"/>
        <b/>
        <color rgb="FF000000"/>
        <sz val="10.0"/>
      </rPr>
      <t xml:space="preserve"> URL https://urban-grocers-es.up.railway.app</t>
    </r>
    <r>
      <rPr>
        <rFont val="Arial"/>
        <color rgb="FF000000"/>
        <sz val="10.0"/>
      </rPr>
      <t xml:space="preserve">
-Crear un usuario y conservar el token
-Contar con un carrito de compras previamente creado con al menos un producto y conservar su</t>
    </r>
    <r>
      <rPr>
        <rFont val="Arial"/>
        <b/>
        <color rgb="FF000000"/>
        <sz val="10.0"/>
      </rPr>
      <t xml:space="preserve"> ID </t>
    </r>
    <r>
      <rPr>
        <rFont val="Arial"/>
        <color rgb="FF000000"/>
        <sz val="10.0"/>
      </rPr>
      <t xml:space="preserve">para utilizarlo en la petición </t>
    </r>
    <r>
      <rPr>
        <rFont val="Arial"/>
        <b/>
        <color rgb="FF000000"/>
        <sz val="10.0"/>
      </rPr>
      <t>PUT.</t>
    </r>
  </si>
  <si>
    <r>
      <rPr>
        <rFont val="Arial"/>
        <color rgb="FF000000"/>
        <sz val="11.0"/>
      </rPr>
      <t xml:space="preserve">Realizar una solicitud </t>
    </r>
    <r>
      <rPr>
        <rFont val="Arial"/>
        <b/>
        <color rgb="FF000000"/>
        <sz val="11.0"/>
      </rPr>
      <t>PUT</t>
    </r>
    <r>
      <rPr>
        <rFont val="Arial"/>
        <color rgb="FF000000"/>
        <sz val="11.0"/>
      </rPr>
      <t xml:space="preserve"> al</t>
    </r>
    <r>
      <rPr>
        <rFont val="Arial"/>
        <b/>
        <color rgb="FF000000"/>
        <sz val="11.0"/>
      </rPr>
      <t xml:space="preserve"> /api/v1/orders/{id}/complete</t>
    </r>
    <r>
      <rPr>
        <rFont val="Arial"/>
        <color rgb="FF000000"/>
        <sz val="11.0"/>
      </rPr>
      <t xml:space="preserve">
Remplazar el </t>
    </r>
    <r>
      <rPr>
        <rFont val="Arial"/>
        <b/>
        <color rgb="FF000000"/>
        <sz val="11.0"/>
      </rPr>
      <t>{id}</t>
    </r>
    <r>
      <rPr>
        <rFont val="Arial"/>
        <color rgb="FF000000"/>
        <sz val="11.0"/>
      </rPr>
      <t xml:space="preserve">, por el Id, del carrito creado y en el </t>
    </r>
    <r>
      <rPr>
        <rFont val="Arial"/>
        <b/>
        <color rgb="FF000000"/>
        <sz val="11.0"/>
      </rPr>
      <t xml:space="preserve">HEADER </t>
    </r>
    <r>
      <rPr>
        <rFont val="Arial"/>
        <color rgb="FF000000"/>
        <sz val="11.0"/>
      </rPr>
      <t xml:space="preserve"> crear un 
</t>
    </r>
    <r>
      <rPr>
        <rFont val="Arial"/>
        <b/>
        <color rgb="FF000000"/>
        <sz val="11.0"/>
      </rPr>
      <t xml:space="preserve">Authorization: Bearer {authToken} </t>
    </r>
    <r>
      <rPr>
        <rFont val="Arial"/>
        <color rgb="FF000000"/>
        <sz val="11.0"/>
      </rPr>
      <t>Reemplazando</t>
    </r>
    <r>
      <rPr>
        <rFont val="Arial"/>
        <b/>
        <color rgb="FF000000"/>
        <sz val="11.0"/>
      </rPr>
      <t xml:space="preserve"> el {authToken} </t>
    </r>
    <r>
      <rPr>
        <rFont val="Arial"/>
        <color rgb="FF000000"/>
        <sz val="11.0"/>
      </rPr>
      <t xml:space="preserve">con el token del usuario creado anteriormente.
</t>
    </r>
  </si>
  <si>
    <t>La respuesta de la API, es 200 OK con un mensaje {"ok": true} confirnando el pedido</t>
  </si>
  <si>
    <t>UG-3-TC-11</t>
  </si>
  <si>
    <r>
      <rPr>
        <rFont val="Arial"/>
        <color rgb="FF000000"/>
        <sz val="10.0"/>
      </rPr>
      <t xml:space="preserve">Confirmar pedido realizado en el carrito de compras sin
 </t>
    </r>
    <r>
      <rPr>
        <rFont val="Arial"/>
        <b/>
        <color rgb="FF000000"/>
        <sz val="10.0"/>
      </rPr>
      <t xml:space="preserve">Authorization: Bearer {authToken} </t>
    </r>
  </si>
  <si>
    <r>
      <rPr>
        <rFont val="Arial"/>
        <color rgb="FF000000"/>
        <sz val="10.0"/>
      </rPr>
      <t xml:space="preserve">La API de Urban Grocers se encuentra activa y disponible. La variable </t>
    </r>
    <r>
      <rPr>
        <rFont val="Arial"/>
        <b/>
        <color rgb="FF000000"/>
        <sz val="10.0"/>
      </rPr>
      <t>{{url-base}}</t>
    </r>
    <r>
      <rPr>
        <rFont val="Arial"/>
        <color rgb="FF000000"/>
        <sz val="10.0"/>
      </rPr>
      <t xml:space="preserve"> está creada y configurada con la</t>
    </r>
    <r>
      <rPr>
        <rFont val="Arial"/>
        <b/>
        <color rgb="FF000000"/>
        <sz val="10.0"/>
      </rPr>
      <t xml:space="preserve"> URL https://urban-grocers-es.up.railway.app</t>
    </r>
    <r>
      <rPr>
        <rFont val="Arial"/>
        <color rgb="FF000000"/>
        <sz val="10.0"/>
      </rPr>
      <t xml:space="preserve">
-Contar con un carrito de compras previamente creado con al menos un producto y conservar su</t>
    </r>
    <r>
      <rPr>
        <rFont val="Arial"/>
        <b/>
        <color rgb="FF000000"/>
        <sz val="10.0"/>
      </rPr>
      <t xml:space="preserve"> ID</t>
    </r>
    <r>
      <rPr>
        <rFont val="Arial"/>
        <color rgb="FF000000"/>
        <sz val="10.0"/>
      </rPr>
      <t xml:space="preserve"> para utilizarlo en la petición </t>
    </r>
    <r>
      <rPr>
        <rFont val="Arial"/>
        <b/>
        <color rgb="FF000000"/>
        <sz val="10.0"/>
      </rPr>
      <t>PUT.</t>
    </r>
  </si>
  <si>
    <r>
      <rPr>
        <rFont val="Arial"/>
        <color rgb="FF000000"/>
        <sz val="11.0"/>
      </rPr>
      <t xml:space="preserve">Realizar una solicitud </t>
    </r>
    <r>
      <rPr>
        <rFont val="Arial"/>
        <b/>
        <color rgb="FF000000"/>
        <sz val="11.0"/>
      </rPr>
      <t>PUT</t>
    </r>
    <r>
      <rPr>
        <rFont val="Arial"/>
        <color rgb="FF000000"/>
        <sz val="11.0"/>
      </rPr>
      <t xml:space="preserve"> al</t>
    </r>
    <r>
      <rPr>
        <rFont val="Arial"/>
        <b/>
        <color rgb="FF000000"/>
        <sz val="11.0"/>
      </rPr>
      <t xml:space="preserve"> /api/v1/orders/{id}/complete</t>
    </r>
    <r>
      <rPr>
        <rFont val="Arial"/>
        <color rgb="FF000000"/>
        <sz val="11.0"/>
      </rPr>
      <t xml:space="preserve">
Remplazar el </t>
    </r>
    <r>
      <rPr>
        <rFont val="Arial"/>
        <b/>
        <color rgb="FF000000"/>
        <sz val="11.0"/>
      </rPr>
      <t>{id}</t>
    </r>
    <r>
      <rPr>
        <rFont val="Arial"/>
        <color rgb="FF000000"/>
        <sz val="11.0"/>
      </rPr>
      <t xml:space="preserve">, por el Id, del carrito creado.
</t>
    </r>
  </si>
  <si>
    <t>La respuesta de la API devuelve 401 Unauthorized por el token no estar presente.</t>
  </si>
  <si>
    <t>Carrito de compras · Reportes de errores</t>
  </si>
  <si>
    <t>POST /api/v1/orders no valida quantity ausente y devuelve 409 Conflict</t>
  </si>
  <si>
    <r>
      <rPr>
        <rFont val="Arial"/>
        <b/>
        <color rgb="FF000000"/>
        <sz val="11.0"/>
      </rPr>
      <t>Precondiciones:</t>
    </r>
    <r>
      <rPr>
        <rFont val="Arial"/>
        <color rgb="FF000000"/>
        <sz val="11.0"/>
      </rPr>
      <t xml:space="preserve">
La API de Urban Grocers se encuentra activa y disponible. La variable </t>
    </r>
    <r>
      <rPr>
        <rFont val="Arial"/>
        <b/>
        <color rgb="FF000000"/>
        <sz val="11.0"/>
      </rPr>
      <t xml:space="preserve">{{url-base}} </t>
    </r>
    <r>
      <rPr>
        <rFont val="Arial"/>
        <color rgb="FF000000"/>
        <sz val="11.0"/>
      </rPr>
      <t>está creada y configurada con la</t>
    </r>
    <r>
      <rPr>
        <rFont val="Arial"/>
        <b/>
        <color rgb="FF000000"/>
        <sz val="11.0"/>
      </rPr>
      <t xml:space="preserve"> URL </t>
    </r>
    <r>
      <rPr>
        <rFont val="Arial"/>
        <b/>
        <color rgb="FF000000"/>
        <sz val="11.0"/>
        <u/>
      </rPr>
      <t xml:space="preserve">https://urban-grocers-es.up.railway.app
</t>
    </r>
    <r>
      <rPr>
        <rFont val="Arial"/>
        <b/>
        <color rgb="FF000000"/>
        <sz val="11.0"/>
      </rPr>
      <t xml:space="preserve">
Pasos:</t>
    </r>
    <r>
      <rPr>
        <rFont val="Arial"/>
        <color rgb="FF000000"/>
        <sz val="11.0"/>
      </rPr>
      <t xml:space="preserve">
Realizar una solicitud </t>
    </r>
    <r>
      <rPr>
        <rFont val="Arial"/>
        <b/>
        <color rgb="FF000000"/>
        <sz val="11.0"/>
      </rPr>
      <t>POST al endpoint /api/v1/orders</t>
    </r>
    <r>
      <rPr>
        <rFont val="Arial"/>
        <color rgb="FF000000"/>
        <sz val="11.0"/>
      </rPr>
      <t xml:space="preserve">
en el body poner la siguiente estructura:
</t>
    </r>
    <r>
      <rPr>
        <rFont val="Arial"/>
        <b/>
        <color rgb="FF000000"/>
        <sz val="11.0"/>
      </rPr>
      <t xml:space="preserve">
{
  "productsList": [
    {
      "productId": 1
    },
    {
      "productId": 5
    }
  ]
}</t>
    </r>
  </si>
  <si>
    <r>
      <rPr>
        <rFont val="Arial"/>
        <color rgb="FF000000"/>
        <sz val="10.0"/>
      </rPr>
      <t xml:space="preserve">La API devuelve </t>
    </r>
    <r>
      <rPr>
        <rFont val="Arial"/>
        <b/>
        <color rgb="FF000000"/>
        <sz val="10.0"/>
      </rPr>
      <t>400 Bad Request</t>
    </r>
    <r>
      <rPr>
        <rFont val="Arial"/>
        <color rgb="FF000000"/>
        <sz val="10.0"/>
      </rPr>
      <t xml:space="preserve"> con el mensaje “No se han aprobado todos los parámetros requeridos”.</t>
    </r>
  </si>
  <si>
    <r>
      <rPr>
        <rFont val="Arial"/>
        <color rgb="FF000000"/>
        <sz val="10.0"/>
      </rPr>
      <t xml:space="preserve">La API responde </t>
    </r>
    <r>
      <rPr>
        <rFont val="Arial"/>
        <b/>
        <color rgb="FF000000"/>
        <sz val="10.0"/>
      </rPr>
      <t xml:space="preserve">409 </t>
    </r>
    <r>
      <rPr>
        <rFont val="Arial"/>
        <color rgb="FF000000"/>
        <sz val="10.0"/>
      </rPr>
      <t xml:space="preserve">con un mensaje 
</t>
    </r>
    <r>
      <rPr>
        <rFont val="Arial"/>
        <b/>
        <color rgb="FF000000"/>
        <sz val="10.0"/>
      </rPr>
      <t>"No hay un almacén para procesar tu pedido"</t>
    </r>
    <r>
      <rPr>
        <rFont val="Arial"/>
        <color rgb="FF000000"/>
        <sz val="10.0"/>
      </rPr>
      <t xml:space="preserve">
</t>
    </r>
  </si>
  <si>
    <t>https://drive.google.com/file/d/1lvwy9XuecsLPgK7qoGJFwEqrZu1TUs_p/view?usp=sharing</t>
  </si>
  <si>
    <t xml:space="preserve">Solicitar productos sin Token devuelve los productos del carrito de compras </t>
  </si>
  <si>
    <r>
      <rPr>
        <rFont val="Arial"/>
        <b/>
        <color rgb="FF000000"/>
        <sz val="10.0"/>
      </rPr>
      <t>Precondiciones:</t>
    </r>
    <r>
      <rPr>
        <rFont val="Arial"/>
        <color rgb="FF000000"/>
        <sz val="10.0"/>
      </rPr>
      <t xml:space="preserve">
La API de Urban Grocers se encuentra activa y disponible. La variable </t>
    </r>
    <r>
      <rPr>
        <rFont val="Arial"/>
        <b/>
        <color rgb="FF000000"/>
        <sz val="10.0"/>
      </rPr>
      <t xml:space="preserve">{{url-base}} </t>
    </r>
    <r>
      <rPr>
        <rFont val="Arial"/>
        <color rgb="FF000000"/>
        <sz val="10.0"/>
      </rPr>
      <t>está creada y configurada con la</t>
    </r>
    <r>
      <rPr>
        <rFont val="Arial"/>
        <b/>
        <color rgb="FF000000"/>
        <sz val="10.0"/>
      </rPr>
      <t xml:space="preserve"> URL https://urban-grocers-es.up.railway.app
-</t>
    </r>
    <r>
      <rPr>
        <rFont val="Arial"/>
        <color rgb="FF000000"/>
        <sz val="10.0"/>
      </rPr>
      <t>Contar con un carrito de compras previamente creado y conservar su</t>
    </r>
    <r>
      <rPr>
        <rFont val="Arial"/>
        <b/>
        <color rgb="FF000000"/>
        <sz val="10.0"/>
      </rPr>
      <t xml:space="preserve"> ID </t>
    </r>
    <r>
      <rPr>
        <rFont val="Arial"/>
        <color rgb="FF000000"/>
        <sz val="10.0"/>
      </rPr>
      <t>para utilizarlo en la petición</t>
    </r>
    <r>
      <rPr>
        <rFont val="Arial"/>
        <b/>
        <color rgb="FF000000"/>
        <sz val="10.0"/>
      </rPr>
      <t xml:space="preserve"> GET.
Pasos:</t>
    </r>
    <r>
      <rPr>
        <rFont val="Arial"/>
        <color rgb="FF000000"/>
        <sz val="10.0"/>
      </rPr>
      <t xml:space="preserve">
Realizar una solicitud </t>
    </r>
    <r>
      <rPr>
        <rFont val="Arial"/>
        <b/>
        <color rgb="FF000000"/>
        <sz val="10.0"/>
      </rPr>
      <t>GET</t>
    </r>
    <r>
      <rPr>
        <rFont val="Arial"/>
        <color rgb="FF000000"/>
        <sz val="10.0"/>
      </rPr>
      <t xml:space="preserve"> al endpoint </t>
    </r>
    <r>
      <rPr>
        <rFont val="Arial"/>
        <b/>
        <color rgb="FF000000"/>
        <sz val="10.0"/>
      </rPr>
      <t>/api/v1/orders/{id}</t>
    </r>
    <r>
      <rPr>
        <rFont val="Arial"/>
        <color rgb="FF000000"/>
        <sz val="10.0"/>
      </rPr>
      <t xml:space="preserve">
Reemplazar el </t>
    </r>
    <r>
      <rPr>
        <rFont val="Arial"/>
        <b/>
        <color rgb="FF000000"/>
        <sz val="10.0"/>
      </rPr>
      <t xml:space="preserve">{id}, </t>
    </r>
    <r>
      <rPr>
        <rFont val="Arial"/>
        <color rgb="FF000000"/>
        <sz val="10.0"/>
      </rPr>
      <t>por el Id, del carriito creado.</t>
    </r>
  </si>
  <si>
    <r>
      <rPr>
        <rFont val="Arial"/>
        <color rgb="FF000000"/>
        <sz val="10.0"/>
      </rPr>
      <t xml:space="preserve">La respuesta de la API es </t>
    </r>
    <r>
      <rPr>
        <rFont val="Arial"/>
        <b/>
        <color rgb="FF000000"/>
        <sz val="10.0"/>
      </rPr>
      <t>200 OK</t>
    </r>
    <r>
      <rPr>
        <rFont val="Arial"/>
        <color rgb="FF000000"/>
        <sz val="10.0"/>
      </rPr>
      <t xml:space="preserve"> devolviendo los productos derl carrito de compras.</t>
    </r>
  </si>
  <si>
    <t>https://drive.google.com/file/d/1BQAsWElOv88BvP1SwhB8Et-SO5rcelwO/view?usp=sharing</t>
  </si>
  <si>
    <r>
      <rPr>
        <rFont val="Arial"/>
        <color rgb="FF000000"/>
        <sz val="10.0"/>
      </rPr>
      <t>La solicitud</t>
    </r>
    <r>
      <rPr>
        <rFont val="Arial"/>
        <b/>
        <color rgb="FF000000"/>
        <sz val="10.0"/>
      </rPr>
      <t xml:space="preserve"> DELETE</t>
    </r>
    <r>
      <rPr>
        <rFont val="Arial"/>
        <color rgb="FF000000"/>
        <sz val="10.0"/>
      </rPr>
      <t xml:space="preserve"> no elimina  carritos de compras existentes.</t>
    </r>
  </si>
  <si>
    <r>
      <rPr>
        <rFont val="Arial"/>
        <b/>
        <color rgb="FF000000"/>
        <sz val="10.0"/>
      </rPr>
      <t>Precondiciones:</t>
    </r>
    <r>
      <rPr>
        <rFont val="Arial"/>
        <color rgb="FF000000"/>
        <sz val="10.0"/>
      </rPr>
      <t xml:space="preserve">
-La API de Urban Grocers se encuentra activa y disponible. La variable </t>
    </r>
    <r>
      <rPr>
        <rFont val="Arial"/>
        <b/>
        <color rgb="FF000000"/>
        <sz val="10.0"/>
      </rPr>
      <t xml:space="preserve">{{url-base}} </t>
    </r>
    <r>
      <rPr>
        <rFont val="Arial"/>
        <color rgb="FF000000"/>
        <sz val="10.0"/>
      </rPr>
      <t xml:space="preserve">está creada y configurada con la </t>
    </r>
    <r>
      <rPr>
        <rFont val="Arial"/>
        <b/>
        <color rgb="FF000000"/>
        <sz val="10.0"/>
      </rPr>
      <t>URL https://urban-grocers-es.up.railway.app
-</t>
    </r>
    <r>
      <rPr>
        <rFont val="Arial"/>
        <color rgb="FF000000"/>
        <sz val="10.0"/>
      </rPr>
      <t>Contar con un carrito de compras previamente creado y conservar su</t>
    </r>
    <r>
      <rPr>
        <rFont val="Arial"/>
        <b/>
        <color rgb="FF000000"/>
        <sz val="10.0"/>
      </rPr>
      <t xml:space="preserve"> ID </t>
    </r>
    <r>
      <rPr>
        <rFont val="Arial"/>
        <color rgb="FF000000"/>
        <sz val="10.0"/>
      </rPr>
      <t>para utilizarlo en la petición</t>
    </r>
    <r>
      <rPr>
        <rFont val="Arial"/>
        <b/>
        <color rgb="FF000000"/>
        <sz val="10.0"/>
      </rPr>
      <t xml:space="preserve"> DELETE.
Pasos:</t>
    </r>
    <r>
      <rPr>
        <rFont val="Arial"/>
        <color rgb="FF000000"/>
        <sz val="10.0"/>
      </rPr>
      <t xml:space="preserve">
Realizar una solicitud </t>
    </r>
    <r>
      <rPr>
        <rFont val="Arial"/>
        <b/>
        <color rgb="FF000000"/>
        <sz val="10.0"/>
      </rPr>
      <t xml:space="preserve">DELETE </t>
    </r>
    <r>
      <rPr>
        <rFont val="Arial"/>
        <color rgb="FF000000"/>
        <sz val="10.0"/>
      </rPr>
      <t xml:space="preserve">al endpoint </t>
    </r>
    <r>
      <rPr>
        <rFont val="Arial"/>
        <b/>
        <color rgb="FF000000"/>
        <sz val="10.0"/>
      </rPr>
      <t>/api/v1/orders/{id}</t>
    </r>
    <r>
      <rPr>
        <rFont val="Arial"/>
        <color rgb="FF000000"/>
        <sz val="10.0"/>
      </rPr>
      <t xml:space="preserve">
Reemplazar el </t>
    </r>
    <r>
      <rPr>
        <rFont val="Arial"/>
        <b/>
        <color rgb="FF000000"/>
        <sz val="10.0"/>
      </rPr>
      <t>{id}</t>
    </r>
    <r>
      <rPr>
        <rFont val="Arial"/>
        <color rgb="FF000000"/>
        <sz val="10.0"/>
      </rPr>
      <t>, por el Id, del carriito creado.</t>
    </r>
  </si>
  <si>
    <t>La API devuelve 404 Not Found con un mensaje "Cart with id=4 not found"</t>
  </si>
  <si>
    <t>https://drive.google.com/file/d/17Mrdx--4p--A-64AeuAgyBZrFznsJJBD/view?usp=sharing</t>
  </si>
  <si>
    <t>UG-3-BUG-04</t>
  </si>
  <si>
    <t>UG-3-BUG-05</t>
  </si>
  <si>
    <t>UG-3-BUG-06</t>
  </si>
  <si>
    <t>UG-3-BUG-07</t>
  </si>
  <si>
    <t>UG-3-BUG-08</t>
  </si>
  <si>
    <t>UG-3-BUG-09</t>
  </si>
  <si>
    <t>UG-3-BUG-10</t>
  </si>
  <si>
    <t>UG-3-BUG-11</t>
  </si>
  <si>
    <t>UG-3-BUG-12</t>
  </si>
  <si>
    <t>UG-3-BUG-13</t>
  </si>
  <si>
    <t>UG-3-BUG-14</t>
  </si>
  <si>
    <t>UG-3-BUG-15</t>
  </si>
  <si>
    <t>UG-3-BUG-16</t>
  </si>
  <si>
    <t>UG-3-BUG-17</t>
  </si>
  <si>
    <t>UG-3-BUG-18</t>
  </si>
  <si>
    <t>UG-3-BUG-19</t>
  </si>
  <si>
    <t>UG-3-BUG-20</t>
  </si>
  <si>
    <t>UG-3-BUG-21</t>
  </si>
  <si>
    <t>UG-3-BUG-22</t>
  </si>
  <si>
    <t>UG-3-BUG-23</t>
  </si>
  <si>
    <t>UG-3-BUG-24</t>
  </si>
  <si>
    <t>UG-3-BUG-25</t>
  </si>
  <si>
    <t>UG-3-BUG-26</t>
  </si>
  <si>
    <t>UG-3-BUG-27</t>
  </si>
  <si>
    <t>UG-3-BUG-28</t>
  </si>
  <si>
    <t>UG-3-BUG-29</t>
  </si>
  <si>
    <t>UG-3-BUG-30</t>
  </si>
  <si>
    <t>UG-3-BUG-31</t>
  </si>
  <si>
    <t>UG-3-BUG-32</t>
  </si>
  <si>
    <t>UG-3-BUG-33</t>
  </si>
  <si>
    <t>UG-3-BUG-34</t>
  </si>
  <si>
    <t>UG-3-BUG-35</t>
  </si>
  <si>
    <t>UG-3-BUG-36</t>
  </si>
  <si>
    <t>UG-3-BUG-37</t>
  </si>
  <si>
    <t>UG-3-BUG-38</t>
  </si>
  <si>
    <t>UG-3-BUG-39</t>
  </si>
  <si>
    <t>UG-3-BUG-40</t>
  </si>
  <si>
    <t>Estado del caso de prueba</t>
  </si>
  <si>
    <t>Tipo de escenario</t>
  </si>
  <si>
    <t>Técnica de diseño</t>
  </si>
  <si>
    <t>Método HTTP</t>
  </si>
  <si>
    <t>Prioridad</t>
  </si>
  <si>
    <t>Estado del bug</t>
  </si>
  <si>
    <t>Operación UG-1</t>
  </si>
  <si>
    <t>Operación UG-2</t>
  </si>
  <si>
    <t>Operación UG-3</t>
  </si>
  <si>
    <t>Aprobado</t>
  </si>
  <si>
    <t>Positivo</t>
  </si>
  <si>
    <t>Clase de equivalencia</t>
  </si>
  <si>
    <t>GET</t>
  </si>
  <si>
    <t>Baja</t>
  </si>
  <si>
    <t>Borrador</t>
  </si>
  <si>
    <t>Agregar productos a un paquete de productos</t>
  </si>
  <si>
    <t>Calcular el costo y el tiempo de entrega</t>
  </si>
  <si>
    <t>Crear el carrito de compras</t>
  </si>
  <si>
    <t>Fallido</t>
  </si>
  <si>
    <t>Negativo</t>
  </si>
  <si>
    <t>Valor límite</t>
  </si>
  <si>
    <t>POST</t>
  </si>
  <si>
    <t>Media</t>
  </si>
  <si>
    <t>Abierto</t>
  </si>
  <si>
    <t>Agregar o actualizar productos</t>
  </si>
  <si>
    <t>Omitido</t>
  </si>
  <si>
    <t>Tabla de decisión</t>
  </si>
  <si>
    <t>PUT</t>
  </si>
  <si>
    <t>Alta</t>
  </si>
  <si>
    <t>En progreso</t>
  </si>
  <si>
    <t>Consultar el carrito de compras</t>
  </si>
  <si>
    <t>Transición de estados</t>
  </si>
  <si>
    <t>PATCH</t>
  </si>
  <si>
    <t>Crítica</t>
  </si>
  <si>
    <t>Resuelto</t>
  </si>
  <si>
    <t>Eliminar el carrito de compras</t>
  </si>
  <si>
    <t>Predicción de errores</t>
  </si>
  <si>
    <t>DELETE</t>
  </si>
  <si>
    <t>Cerrado</t>
  </si>
  <si>
    <t>Confirmar el pedido</t>
  </si>
  <si>
    <t>No aplicable</t>
  </si>
  <si>
    <t>Rechazado</t>
  </si>
  <si>
    <t>Duplicado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</si>
</sst>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37">
    <font>
      <sz val="11.0"/>
      <color theme="1"/>
      <name val="Calibri"/>
      <scheme val="minor"/>
    </font>
    <font>
      <b/>
      <sz val="20.0"/>
      <color rgb="FFFFFFFF"/>
      <name val="Play"/>
    </font>
    <font/>
    <font>
      <sz val="11.0"/>
      <color theme="1"/>
      <name val="Calibri"/>
    </font>
    <font>
      <i/>
      <sz val="10.0"/>
      <color rgb="FFFFFFFF"/>
      <name val="Aptos"/>
    </font>
    <font>
      <b/>
      <sz val="9.0"/>
      <color rgb="FF3B4652"/>
      <name val="Aptos"/>
    </font>
    <font>
      <b/>
      <sz val="10.0"/>
      <color rgb="FFFFFFFF"/>
      <name val="Aptos"/>
    </font>
    <font>
      <b/>
      <sz val="14.0"/>
      <color rgb="FF0F8B8D"/>
      <name val="Play"/>
    </font>
    <font>
      <sz val="10.0"/>
      <color rgb="FF666666"/>
      <name val="Arial"/>
    </font>
    <font>
      <color rgb="FF000000"/>
      <name val="Calibri"/>
      <scheme val="minor"/>
    </font>
    <font>
      <sz val="10.0"/>
      <color rgb="FF000000"/>
      <name val="Arial"/>
    </font>
    <font>
      <b/>
      <sz val="9.0"/>
      <color rgb="FFFFFFFF"/>
      <name val="Arial"/>
    </font>
    <font>
      <sz val="11.0"/>
      <color rgb="FF0000FF"/>
      <name val="Arial"/>
    </font>
    <font>
      <b/>
      <sz val="10.0"/>
      <color rgb="FFFFFFFF"/>
      <name val="Arial"/>
    </font>
    <font>
      <sz val="12.0"/>
      <color rgb="FF000000"/>
      <name val="Arial"/>
    </font>
    <font>
      <sz val="10.0"/>
      <color rgb="FF666666"/>
      <name val="Aptos"/>
    </font>
    <font>
      <sz val="10.0"/>
      <color rgb="FF0000FF"/>
      <name val="Arial"/>
    </font>
    <font>
      <sz val="10.0"/>
      <color rgb="FF000000"/>
      <name val="Calibri"/>
      <scheme val="minor"/>
    </font>
    <font>
      <sz val="10.0"/>
      <color rgb="FF0000FF"/>
      <name val="Aptos"/>
    </font>
    <font>
      <u/>
      <sz val="10.0"/>
      <color rgb="FF0000FF"/>
      <name val="Arial"/>
    </font>
    <font>
      <sz val="10.0"/>
      <color rgb="FF3B4652"/>
      <name val="Aptos"/>
    </font>
    <font>
      <sz val="10.0"/>
      <color rgb="FF000000"/>
      <name val="-webkit-standard"/>
    </font>
    <font>
      <u/>
      <sz val="10.0"/>
      <color rgb="FF0000FF"/>
      <name val="Aptos"/>
    </font>
    <font>
      <sz val="11.0"/>
      <color rgb="FF000000"/>
      <name val="Arial"/>
    </font>
    <font>
      <sz val="11.0"/>
      <color rgb="FF000000"/>
      <name val="Calibri"/>
      <scheme val="minor"/>
    </font>
    <font>
      <b/>
      <sz val="9.0"/>
      <color rgb="FFFFFFFF"/>
      <name val="Aptos"/>
    </font>
    <font>
      <sz val="9.0"/>
      <color rgb="FF3B4652"/>
      <name val="Aptos"/>
    </font>
    <font>
      <sz val="9.0"/>
      <color rgb="FF111827"/>
      <name val="Aptos"/>
    </font>
    <font>
      <b/>
      <sz val="9.0"/>
      <color rgb="FF111827"/>
      <name val="Aptos"/>
    </font>
    <font>
      <sz val="9.0"/>
      <color rgb="FF3B4652"/>
      <name val="Arial"/>
    </font>
    <font>
      <i/>
      <sz val="9.0"/>
      <color rgb="FF1F5AA6"/>
      <name val="Arial"/>
    </font>
    <font>
      <i/>
      <u/>
      <sz val="9.0"/>
      <color rgb="FF0000FF"/>
      <name val="Arial"/>
    </font>
    <font>
      <sz val="12.0"/>
      <color rgb="FF000000"/>
      <name val="-webkit-standard"/>
    </font>
    <font>
      <sz val="10.0"/>
      <color rgb="FF000000"/>
      <name val="Aptos"/>
    </font>
    <font>
      <u/>
      <sz val="11.0"/>
      <color rgb="FF0000FF"/>
      <name val="Arial"/>
    </font>
    <font>
      <color rgb="FF000000"/>
      <name val="Arial"/>
    </font>
    <font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17324D"/>
        <bgColor rgb="FF17324D"/>
      </patternFill>
    </fill>
    <fill>
      <patternFill patternType="solid">
        <fgColor rgb="FF244B6B"/>
        <bgColor rgb="FF244B6B"/>
      </patternFill>
    </fill>
    <fill>
      <patternFill patternType="solid">
        <fgColor rgb="FFE7EBEF"/>
        <bgColor rgb="FFE7EBEF"/>
      </patternFill>
    </fill>
    <fill>
      <patternFill patternType="solid">
        <fgColor rgb="FF0F8B8D"/>
        <bgColor rgb="FF0F8B8D"/>
      </patternFill>
    </fill>
    <fill>
      <patternFill patternType="solid">
        <fgColor rgb="FFDDF3F2"/>
        <bgColor rgb="FFDDF3F2"/>
      </patternFill>
    </fill>
    <fill>
      <patternFill patternType="solid">
        <fgColor rgb="FFF4F6F8"/>
        <bgColor rgb="FFF4F6F8"/>
      </patternFill>
    </fill>
    <fill>
      <patternFill patternType="solid">
        <fgColor rgb="FFFFFFFF"/>
        <bgColor rgb="FFFFFFFF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 style="medium">
        <color rgb="FF17324D"/>
      </top>
      <bottom style="medium">
        <color rgb="FF17324D"/>
      </bottom>
    </border>
    <border>
      <bottom style="thin">
        <color rgb="FFD5DCE3"/>
      </bottom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1" fillId="3" fontId="4" numFmtId="0" xfId="0" applyAlignment="1" applyBorder="1" applyFill="1" applyFont="1">
      <alignment horizontal="left" vertical="center"/>
    </xf>
    <xf borderId="4" fillId="4" fontId="5" numFmtId="0" xfId="0" applyAlignment="1" applyBorder="1" applyFill="1" applyFont="1">
      <alignment horizontal="left" vertical="center"/>
    </xf>
    <xf borderId="1" fillId="5" fontId="6" numFmtId="0" xfId="0" applyAlignment="1" applyBorder="1" applyFill="1" applyFont="1">
      <alignment horizontal="left" vertical="center"/>
    </xf>
    <xf borderId="4" fillId="6" fontId="7" numFmtId="0" xfId="0" applyAlignment="1" applyBorder="1" applyFill="1" applyFont="1">
      <alignment horizontal="center" vertical="center"/>
    </xf>
    <xf borderId="5" fillId="2" fontId="6" numFmtId="0" xfId="0" applyAlignment="1" applyBorder="1" applyFill="1" applyFont="1">
      <alignment horizontal="left" shrinkToFit="0" vertical="center" wrapText="1"/>
    </xf>
    <xf borderId="6" fillId="7" fontId="8" numFmtId="0" xfId="0" applyAlignment="1" applyBorder="1" applyFill="1" applyFont="1">
      <alignment horizontal="left" readingOrder="0" shrinkToFit="0" vertical="center" wrapText="1"/>
    </xf>
    <xf borderId="0" fillId="0" fontId="9" numFmtId="0" xfId="0" applyAlignment="1" applyFont="1">
      <alignment horizontal="left" readingOrder="0" shrinkToFit="0" vertical="center" wrapText="1"/>
    </xf>
    <xf borderId="0" fillId="0" fontId="10" numFmtId="0" xfId="0" applyAlignment="1" applyFont="1">
      <alignment horizontal="left" readingOrder="0" shrinkToFit="0" vertical="center" wrapText="1"/>
    </xf>
    <xf borderId="6" fillId="6" fontId="10" numFmtId="0" xfId="0" applyAlignment="1" applyBorder="1" applyFill="1" applyFont="1">
      <alignment horizontal="left" readingOrder="0" shrinkToFit="0" vertical="center" wrapText="1"/>
    </xf>
    <xf borderId="6" fillId="8" fontId="10" numFmtId="0" xfId="0" applyAlignment="1" applyBorder="1" applyFill="1" applyFont="1">
      <alignment horizontal="left" readingOrder="0" shrinkToFit="0" vertical="center" wrapText="1"/>
    </xf>
    <xf borderId="5" fillId="2" fontId="11" numFmtId="0" xfId="0" applyAlignment="1" applyBorder="1" applyFill="1" applyFont="1">
      <alignment horizontal="left" shrinkToFit="0" vertical="center" wrapText="1"/>
    </xf>
    <xf borderId="6" fillId="8" fontId="12" numFmtId="0" xfId="0" applyAlignment="1" applyBorder="1" applyFill="1" applyFont="1">
      <alignment horizontal="left" readingOrder="0" shrinkToFit="0" vertical="center" wrapText="1"/>
    </xf>
    <xf borderId="5" fillId="2" fontId="11" numFmtId="0" xfId="0" applyAlignment="1" applyBorder="1" applyFill="1" applyFont="1">
      <alignment horizontal="left" readingOrder="0" shrinkToFit="0" vertical="center" wrapText="1"/>
    </xf>
    <xf borderId="5" fillId="2" fontId="13" numFmtId="0" xfId="0" applyAlignment="1" applyBorder="1" applyFill="1" applyFont="1">
      <alignment horizontal="left" readingOrder="0" shrinkToFit="0" vertical="center" wrapText="1"/>
    </xf>
    <xf borderId="6" fillId="7" fontId="8" numFmtId="0" xfId="0" applyAlignment="1" applyBorder="1" applyFill="1" applyFont="1">
      <alignment horizontal="left" shrinkToFit="0" vertical="center" wrapText="1"/>
    </xf>
    <xf borderId="0" fillId="0" fontId="14" numFmtId="0" xfId="0" applyAlignment="1" applyFont="1">
      <alignment horizontal="left" readingOrder="0" shrinkToFit="0" vertical="center" wrapText="1"/>
    </xf>
    <xf borderId="6" fillId="7" fontId="15" numFmtId="0" xfId="0" applyAlignment="1" applyBorder="1" applyFill="1" applyFont="1">
      <alignment horizontal="left" shrinkToFit="0" vertical="center" wrapText="1"/>
    </xf>
    <xf borderId="6" fillId="8" fontId="16" numFmtId="0" xfId="0" applyAlignment="1" applyBorder="1" applyFill="1" applyFont="1">
      <alignment horizontal="left" readingOrder="0" shrinkToFit="0" vertical="center" wrapText="1"/>
    </xf>
    <xf borderId="0" fillId="0" fontId="17" numFmtId="0" xfId="0" applyAlignment="1" applyFont="1">
      <alignment horizontal="left" readingOrder="0" shrinkToFit="0" vertical="center" wrapText="1"/>
    </xf>
    <xf borderId="6" fillId="8" fontId="16" numFmtId="0" xfId="0" applyAlignment="1" applyBorder="1" applyFill="1" applyFont="1">
      <alignment horizontal="left" shrinkToFit="0" vertical="center" wrapText="1"/>
    </xf>
    <xf borderId="6" fillId="8" fontId="18" numFmtId="0" xfId="0" applyAlignment="1" applyBorder="1" applyFill="1" applyFont="1">
      <alignment horizontal="left" shrinkToFit="0" vertical="center" wrapText="1"/>
    </xf>
    <xf borderId="0" fillId="6" fontId="14" numFmtId="0" xfId="0" applyAlignment="1" applyFill="1" applyFont="1">
      <alignment horizontal="left" readingOrder="0" shrinkToFit="0" vertical="center" wrapText="1"/>
    </xf>
    <xf borderId="0" fillId="0" fontId="7" numFmtId="0" xfId="0" applyAlignment="1" applyFont="1">
      <alignment horizontal="center" vertical="center"/>
    </xf>
    <xf borderId="6" fillId="8" fontId="19" numFmtId="0" xfId="0" applyAlignment="1" applyBorder="1" applyFill="1" applyFont="1">
      <alignment horizontal="left" readingOrder="0" shrinkToFit="0" vertical="center" wrapText="1"/>
    </xf>
    <xf borderId="0" fillId="0" fontId="20" numFmtId="0" xfId="0" applyAlignment="1" applyFont="1">
      <alignment shrinkToFit="0" vertical="center" wrapText="1"/>
    </xf>
    <xf borderId="0" fillId="0" fontId="21" numFmtId="0" xfId="0" applyAlignment="1" applyFont="1">
      <alignment horizontal="left" readingOrder="0" shrinkToFit="0" vertical="center" wrapText="1"/>
    </xf>
    <xf borderId="0" fillId="0" fontId="14" numFmtId="0" xfId="0" applyAlignment="1" applyFont="1">
      <alignment horizontal="left" readingOrder="0" shrinkToFit="0" vertical="center" wrapText="1"/>
    </xf>
    <xf borderId="6" fillId="8" fontId="22" numFmtId="0" xfId="0" applyAlignment="1" applyBorder="1" applyFill="1" applyFont="1">
      <alignment horizontal="left" readingOrder="0" shrinkToFit="0" vertical="center" wrapText="1"/>
    </xf>
    <xf borderId="6" fillId="8" fontId="18" numFmtId="0" xfId="0" applyAlignment="1" applyBorder="1" applyFill="1" applyFont="1">
      <alignment horizontal="left" readingOrder="0" shrinkToFit="0" vertical="center" wrapText="1"/>
    </xf>
    <xf borderId="6" fillId="6" fontId="23" numFmtId="0" xfId="0" applyAlignment="1" applyBorder="1" applyFill="1" applyFont="1">
      <alignment horizontal="left" readingOrder="0" shrinkToFit="0" vertical="center" wrapText="1"/>
    </xf>
    <xf borderId="6" fillId="7" fontId="15" numFmtId="0" xfId="0" applyAlignment="1" applyBorder="1" applyFill="1" applyFont="1">
      <alignment shrinkToFit="0" vertical="top" wrapText="1"/>
    </xf>
    <xf borderId="6" fillId="8" fontId="18" numFmtId="0" xfId="0" applyAlignment="1" applyBorder="1" applyFill="1" applyFont="1">
      <alignment horizontal="left" shrinkToFit="0" vertical="top" wrapText="1"/>
    </xf>
    <xf borderId="6" fillId="8" fontId="16" numFmtId="0" xfId="0" applyAlignment="1" applyBorder="1" applyFill="1" applyFont="1">
      <alignment horizontal="left" readingOrder="0" shrinkToFit="0" vertical="top" wrapText="1"/>
    </xf>
    <xf borderId="6" fillId="6" fontId="18" numFmtId="0" xfId="0" applyAlignment="1" applyBorder="1" applyFill="1" applyFont="1">
      <alignment horizontal="left" shrinkToFit="0" vertical="top" wrapText="1"/>
    </xf>
    <xf borderId="6" fillId="8" fontId="18" numFmtId="0" xfId="0" applyAlignment="1" applyBorder="1" applyFill="1" applyFont="1">
      <alignment horizontal="center" shrinkToFit="0" vertical="center" wrapText="1"/>
    </xf>
    <xf borderId="6" fillId="8" fontId="23" numFmtId="0" xfId="0" applyAlignment="1" applyBorder="1" applyFill="1" applyFont="1">
      <alignment horizontal="left" readingOrder="0" shrinkToFit="0" vertical="center" wrapText="1"/>
    </xf>
    <xf borderId="0" fillId="6" fontId="21" numFmtId="0" xfId="0" applyAlignment="1" applyFill="1" applyFont="1">
      <alignment horizontal="left" readingOrder="0" shrinkToFit="0" vertical="center" wrapText="1"/>
    </xf>
    <xf borderId="0" fillId="0" fontId="24" numFmtId="0" xfId="0" applyAlignment="1" applyFont="1">
      <alignment horizontal="left" readingOrder="0" shrinkToFit="0" vertical="center" wrapText="1"/>
    </xf>
    <xf borderId="6" fillId="6" fontId="10" numFmtId="0" xfId="0" applyAlignment="1" applyBorder="1" applyFill="1" applyFont="1">
      <alignment horizontal="left" readingOrder="0" shrinkToFit="0" vertical="top" wrapText="1"/>
    </xf>
    <xf borderId="6" fillId="8" fontId="16" numFmtId="0" xfId="0" applyAlignment="1" applyBorder="1" applyFill="1" applyFont="1">
      <alignment horizontal="center" readingOrder="0" shrinkToFit="0" vertical="center" wrapText="1"/>
    </xf>
    <xf borderId="5" fillId="2" fontId="25" numFmtId="0" xfId="0" applyAlignment="1" applyBorder="1" applyFill="1" applyFont="1">
      <alignment horizontal="center" shrinkToFit="0" vertical="center" wrapText="1"/>
    </xf>
    <xf borderId="6" fillId="8" fontId="5" numFmtId="0" xfId="0" applyAlignment="1" applyBorder="1" applyFill="1" applyFont="1">
      <alignment shrinkToFit="0" vertical="center" wrapText="1"/>
    </xf>
    <xf borderId="6" fillId="8" fontId="26" numFmtId="0" xfId="0" applyAlignment="1" applyBorder="1" applyFill="1" applyFont="1">
      <alignment shrinkToFit="0" vertical="center" wrapText="1"/>
    </xf>
    <xf borderId="6" fillId="8" fontId="27" numFmtId="0" xfId="0" applyAlignment="1" applyBorder="1" applyFill="1" applyFont="1">
      <alignment shrinkToFit="0" vertical="center" wrapText="1"/>
    </xf>
    <xf borderId="6" fillId="8" fontId="28" numFmtId="0" xfId="0" applyAlignment="1" applyBorder="1" applyFill="1" applyFont="1">
      <alignment shrinkToFit="0" vertical="center" wrapText="1"/>
    </xf>
    <xf borderId="6" fillId="7" fontId="5" numFmtId="0" xfId="0" applyAlignment="1" applyBorder="1" applyFill="1" applyFont="1">
      <alignment shrinkToFit="0" vertical="center" wrapText="1"/>
    </xf>
    <xf borderId="6" fillId="7" fontId="26" numFmtId="0" xfId="0" applyAlignment="1" applyBorder="1" applyFill="1" applyFont="1">
      <alignment shrinkToFit="0" vertical="center" wrapText="1"/>
    </xf>
    <xf borderId="6" fillId="7" fontId="29" numFmtId="0" xfId="0" applyAlignment="1" applyBorder="1" applyFill="1" applyFont="1">
      <alignment readingOrder="0" shrinkToFit="0" vertical="center" wrapText="1"/>
    </xf>
    <xf borderId="6" fillId="7" fontId="27" numFmtId="0" xfId="0" applyAlignment="1" applyBorder="1" applyFill="1" applyFont="1">
      <alignment shrinkToFit="0" vertical="center" wrapText="1"/>
    </xf>
    <xf borderId="6" fillId="7" fontId="28" numFmtId="0" xfId="0" applyAlignment="1" applyBorder="1" applyFill="1" applyFont="1">
      <alignment shrinkToFit="0" vertical="center" wrapText="1"/>
    </xf>
    <xf borderId="6" fillId="8" fontId="29" numFmtId="164" xfId="0" applyAlignment="1" applyBorder="1" applyFill="1" applyFont="1" applyNumberFormat="1">
      <alignment horizontal="left" readingOrder="0" shrinkToFit="0" vertical="center" wrapText="1"/>
    </xf>
    <xf borderId="4" fillId="4" fontId="5" numFmtId="0" xfId="0" applyAlignment="1" applyBorder="1" applyFill="1" applyFont="1">
      <alignment horizontal="left" shrinkToFit="0" vertical="center" wrapText="1"/>
    </xf>
    <xf borderId="1" fillId="8" fontId="30" numFmtId="0" xfId="0" applyAlignment="1" applyBorder="1" applyFill="1" applyFont="1">
      <alignment horizontal="left" shrinkToFit="0" vertical="center" wrapText="1"/>
    </xf>
    <xf borderId="1" fillId="8" fontId="31" numFmtId="0" xfId="0" applyAlignment="1" applyBorder="1" applyFill="1" applyFont="1">
      <alignment horizontal="left" readingOrder="0" shrinkToFit="0" vertical="center" wrapText="1"/>
    </xf>
    <xf borderId="5" fillId="2" fontId="25" numFmtId="0" xfId="0" applyAlignment="1" applyBorder="1" applyFill="1" applyFont="1">
      <alignment horizontal="left" shrinkToFit="0" vertical="center" wrapText="1"/>
    </xf>
    <xf borderId="0" fillId="0" fontId="32" numFmtId="0" xfId="0" applyAlignment="1" applyFont="1">
      <alignment horizontal="left" readingOrder="0" shrinkToFit="0" vertical="center" wrapText="1"/>
    </xf>
    <xf borderId="6" fillId="8" fontId="33" numFmtId="0" xfId="0" applyAlignment="1" applyBorder="1" applyFill="1" applyFont="1">
      <alignment horizontal="left" readingOrder="0" shrinkToFit="0" vertical="center" wrapText="1"/>
    </xf>
    <xf borderId="6" fillId="8" fontId="34" numFmtId="0" xfId="0" applyAlignment="1" applyBorder="1" applyFill="1" applyFont="1">
      <alignment horizontal="left" readingOrder="0" shrinkToFit="0" vertical="center" wrapText="1"/>
    </xf>
    <xf borderId="0" fillId="0" fontId="9" numFmtId="0" xfId="0" applyAlignment="1" applyFont="1">
      <alignment readingOrder="0"/>
    </xf>
    <xf borderId="6" fillId="8" fontId="10" numFmtId="0" xfId="0" applyAlignment="1" applyBorder="1" applyFill="1" applyFont="1">
      <alignment horizontal="center" readingOrder="0" shrinkToFit="0" vertical="center" wrapText="1"/>
    </xf>
    <xf borderId="6" fillId="7" fontId="8" numFmtId="0" xfId="0" applyAlignment="1" applyBorder="1" applyFill="1" applyFont="1">
      <alignment horizontal="left" readingOrder="0" shrinkToFit="0" vertical="top" wrapText="1"/>
    </xf>
    <xf borderId="0" fillId="0" fontId="10" numFmtId="0" xfId="0" applyAlignment="1" applyFont="1">
      <alignment horizontal="left" readingOrder="0" shrinkToFit="0" vertical="center" wrapText="1"/>
    </xf>
    <xf borderId="0" fillId="6" fontId="10" numFmtId="0" xfId="0" applyAlignment="1" applyFill="1" applyFont="1">
      <alignment horizontal="left" readingOrder="0" shrinkToFit="0" vertical="center" wrapText="1"/>
    </xf>
    <xf borderId="6" fillId="8" fontId="16" numFmtId="0" xfId="0" applyAlignment="1" applyBorder="1" applyFill="1" applyFont="1">
      <alignment horizontal="left" shrinkToFit="0" vertical="top" wrapText="1"/>
    </xf>
    <xf borderId="6" fillId="7" fontId="8" numFmtId="0" xfId="0" applyAlignment="1" applyBorder="1" applyFill="1" applyFont="1">
      <alignment horizontal="left" shrinkToFit="0" vertical="top" wrapText="1"/>
    </xf>
    <xf borderId="0" fillId="0" fontId="10" numFmtId="0" xfId="0" applyAlignment="1" applyFont="1">
      <alignment horizontal="left" readingOrder="0" shrinkToFit="0" vertical="center" wrapText="1"/>
    </xf>
    <xf borderId="0" fillId="0" fontId="35" numFmtId="0" xfId="0" applyAlignment="1" applyFont="1">
      <alignment horizontal="left" readingOrder="0" shrinkToFit="0" vertical="center" wrapText="1"/>
    </xf>
    <xf borderId="6" fillId="8" fontId="10" numFmtId="0" xfId="0" applyAlignment="1" applyBorder="1" applyFill="1" applyFont="1">
      <alignment horizontal="left" readingOrder="0" shrinkToFit="0" vertical="top" wrapText="1"/>
    </xf>
    <xf borderId="6" fillId="8" fontId="10" numFmtId="0" xfId="0" applyAlignment="1" applyBorder="1" applyFill="1" applyFont="1">
      <alignment horizontal="left" readingOrder="0" shrinkToFit="0" vertical="center" wrapText="1"/>
    </xf>
    <xf borderId="6" fillId="8" fontId="12" numFmtId="0" xfId="0" applyAlignment="1" applyBorder="1" applyFill="1" applyFont="1">
      <alignment horizontal="left" readingOrder="0" shrinkToFit="0" vertical="top" wrapText="1"/>
    </xf>
    <xf borderId="0" fillId="8" fontId="10" numFmtId="0" xfId="0" applyAlignment="1" applyFill="1" applyFont="1">
      <alignment horizontal="left" readingOrder="0" shrinkToFit="0" vertical="center" wrapText="1"/>
    </xf>
    <xf borderId="0" fillId="0" fontId="36" numFmtId="0" xfId="0" applyFont="1"/>
  </cellXfs>
  <cellStyles count="1">
    <cellStyle xfId="0" name="Normal" builtinId="0"/>
  </cellStyles>
  <dxfs count="10">
    <dxf>
      <font/>
      <fill>
        <patternFill patternType="solid">
          <fgColor rgb="FFE2F0D9"/>
          <bgColor rgb="FFE2F0D9"/>
        </patternFill>
      </fill>
      <border/>
    </dxf>
    <dxf>
      <font/>
      <fill>
        <patternFill patternType="solid">
          <fgColor rgb="FFFCE4D6"/>
          <bgColor rgb="FFFCE4D6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>
        <b/>
        <color rgb="FF2E8B57"/>
      </font>
      <fill>
        <patternFill patternType="solid">
          <fgColor rgb="FFE6F4EA"/>
          <bgColor rgb="FFE6F4EA"/>
        </patternFill>
      </fill>
      <border/>
    </dxf>
    <dxf>
      <font>
        <b/>
        <color rgb="FFD64545"/>
      </font>
      <fill>
        <patternFill patternType="solid">
          <fgColor rgb="FFFDE8E8"/>
          <bgColor rgb="FFFDE8E8"/>
        </patternFill>
      </fill>
      <border/>
    </dxf>
    <dxf>
      <font>
        <b/>
        <color rgb="FFB65F00"/>
      </font>
      <fill>
        <patternFill patternType="solid">
          <fgColor rgb="FFFFF1E5"/>
          <bgColor rgb="FFFFF1E5"/>
        </patternFill>
      </fill>
      <border/>
    </dxf>
    <dxf>
      <font>
        <b/>
        <color rgb="FF3B4652"/>
      </font>
      <fill>
        <patternFill patternType="solid">
          <fgColor rgb="FFE7EBEF"/>
          <bgColor rgb="FFE7EBEF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urban-grocers-es.up.railway.app/api/swagger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YWhR-Q5NfBLCvGzIzyUZ7KvCg8KonNDP/view?usp=sharing" TargetMode="External"/><Relationship Id="rId2" Type="http://schemas.openxmlformats.org/officeDocument/2006/relationships/hyperlink" Target="https://drive.google.com/file/d/13h7vgUz720W_StTC0sz9b_79yh0MEFSt/view?usp=sharing" TargetMode="External"/><Relationship Id="rId3" Type="http://schemas.openxmlformats.org/officeDocument/2006/relationships/hyperlink" Target="https://drive.google.com/file/d/1FCrt7KH2FNg9NqtyFRfjbo935xQiWG5p/view?usp=sharing" TargetMode="External"/><Relationship Id="rId4" Type="http://schemas.openxmlformats.org/officeDocument/2006/relationships/hyperlink" Target="https://drive.google.com/file/d/1LoZr4hZS7to54qbovttZNPHfbxV809GT/view?usp=sharing" TargetMode="External"/><Relationship Id="rId5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lPBcAXVu8i3oqUatk3-JfeHwG4eZD2qU/view?usp=sharing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lvwy9XuecsLPgK7qoGJFwEqrZu1TUs_p/view?usp=sharing" TargetMode="External"/><Relationship Id="rId2" Type="http://schemas.openxmlformats.org/officeDocument/2006/relationships/hyperlink" Target="https://drive.google.com/file/d/1BQAsWElOv88BvP1SwhB8Et-SO5rcelwO/view?usp=sharing" TargetMode="External"/><Relationship Id="rId3" Type="http://schemas.openxmlformats.org/officeDocument/2006/relationships/hyperlink" Target="https://drive.google.com/file/d/17Mrdx--4p--A-64AeuAgyBZrFznsJJBD/view?usp=sharing" TargetMode="External"/><Relationship Id="rId4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F8B8D"/>
    <pageSetUpPr fitToPage="1"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3.0"/>
    <col customWidth="1" min="2" max="2" width="29.0"/>
    <col customWidth="1" min="3" max="3" width="32.0"/>
    <col customWidth="1" min="4" max="4" width="15.0"/>
    <col customWidth="1" min="5" max="6" width="12.0"/>
    <col customWidth="1" min="7" max="8" width="11.0"/>
    <col customWidth="1" min="9" max="9" width="17.0"/>
    <col customWidth="1" min="10" max="10" width="20.0"/>
  </cols>
  <sheetData>
    <row r="1" ht="33.75" customHeight="1">
      <c r="A1" s="1" t="s">
        <v>5</v>
      </c>
      <c r="B1" s="2"/>
      <c r="C1" s="2"/>
      <c r="D1" s="2"/>
      <c r="E1" s="2"/>
      <c r="F1" s="2"/>
      <c r="G1" s="2"/>
      <c r="H1" s="2"/>
      <c r="I1" s="2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7" t="s">
        <v>21</v>
      </c>
      <c r="B3" s="2"/>
      <c r="C3" s="2"/>
      <c r="D3" s="2"/>
      <c r="E3" s="2"/>
      <c r="F3" s="2"/>
      <c r="G3" s="2"/>
      <c r="H3" s="2"/>
      <c r="I3" s="2"/>
      <c r="J3" s="3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7.75" customHeight="1">
      <c r="A4" s="27" t="s">
        <v>43</v>
      </c>
      <c r="B4" s="29" t="s">
        <v>52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7.75" customHeight="1">
      <c r="A5" s="27" t="s">
        <v>72</v>
      </c>
      <c r="B5" s="29" t="s">
        <v>75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7.75" customHeight="1">
      <c r="A6" s="27" t="s">
        <v>87</v>
      </c>
      <c r="B6" s="29" t="s">
        <v>89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7.75" customHeight="1">
      <c r="A7" s="27" t="s">
        <v>100</v>
      </c>
      <c r="B7" s="29" t="s">
        <v>106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7" t="s">
        <v>134</v>
      </c>
      <c r="B9" s="2"/>
      <c r="C9" s="2"/>
      <c r="D9" s="2"/>
      <c r="E9" s="2"/>
      <c r="F9" s="2"/>
      <c r="G9" s="2"/>
      <c r="H9" s="2"/>
      <c r="I9" s="2"/>
      <c r="J9" s="3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9.75" customHeight="1">
      <c r="A10" s="45" t="s">
        <v>154</v>
      </c>
      <c r="B10" s="45" t="s">
        <v>157</v>
      </c>
      <c r="C10" s="45" t="s">
        <v>158</v>
      </c>
      <c r="D10" s="45" t="s">
        <v>162</v>
      </c>
      <c r="E10" s="45" t="s">
        <v>6</v>
      </c>
      <c r="F10" s="45" t="s">
        <v>8</v>
      </c>
      <c r="G10" s="45" t="s">
        <v>10</v>
      </c>
      <c r="H10" s="45" t="s">
        <v>17</v>
      </c>
      <c r="I10" s="45" t="s">
        <v>164</v>
      </c>
      <c r="J10" s="45" t="s">
        <v>166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37.5" customHeight="1">
      <c r="A11" s="46" t="s">
        <v>173</v>
      </c>
      <c r="B11" s="47" t="s">
        <v>177</v>
      </c>
      <c r="C11" s="47" t="s">
        <v>181</v>
      </c>
      <c r="D11" s="47" t="s">
        <v>182</v>
      </c>
      <c r="E11" s="48">
        <f>COUNTIF('UG-1 Casos de prueba'!$B$7:$B$56,"&lt;&gt;")</f>
        <v>9</v>
      </c>
      <c r="F11" s="48">
        <f>COUNTIF('UG-1 Casos de prueba'!$G$7:$G$56,"Aprobado")</f>
        <v>5</v>
      </c>
      <c r="G11" s="48">
        <f>COUNTIF('UG-1 Casos de prueba'!$G$7:$G$56,"Fallido")</f>
        <v>4</v>
      </c>
      <c r="H11" s="48">
        <f>COUNTIF('UG-1 Casos de prueba'!$G$7:$G$56,"Omitido")</f>
        <v>0</v>
      </c>
      <c r="I11" s="48">
        <f>COUNTIF('UG-1 Reportes de errores'!$B$6:$B$45,"&lt;&gt;")</f>
        <v>4</v>
      </c>
      <c r="J11" s="49" t="str">
        <f t="shared" ref="J11:J13" si="1">IF(E11=0,"No iniciada",IF(G11&gt;0,"Requiere atención",IF(F11+H11=E11,"Completada","En progreso")))</f>
        <v>Requiere atención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37.5" customHeight="1">
      <c r="A12" s="50" t="s">
        <v>253</v>
      </c>
      <c r="B12" s="51" t="s">
        <v>256</v>
      </c>
      <c r="C12" s="51" t="s">
        <v>181</v>
      </c>
      <c r="D12" s="52" t="s">
        <v>182</v>
      </c>
      <c r="E12" s="53">
        <f>COUNTIF('UG-2 Casos de prueba'!$B$6:$B$55,"&lt;&gt;")</f>
        <v>9</v>
      </c>
      <c r="F12" s="53">
        <f>COUNTIF('UG-2 Casos de prueba'!$G$6:$G$55,"Aprobado")</f>
        <v>3</v>
      </c>
      <c r="G12" s="53">
        <f>COUNTIF('UG-2 Casos de prueba'!$G$6:$G$55,"Fallido")</f>
        <v>6</v>
      </c>
      <c r="H12" s="53">
        <f>COUNTIF('UG-2 Casos de prueba'!$G$6:$G$55,"Omitido")</f>
        <v>0</v>
      </c>
      <c r="I12" s="53">
        <f>COUNTIF('UG-2 Reportes de errores'!$B$6:$B$45,"&lt;&gt;")</f>
        <v>1</v>
      </c>
      <c r="J12" s="54" t="str">
        <f t="shared" si="1"/>
        <v>Requiere atención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37.5" customHeight="1">
      <c r="A13" s="46" t="s">
        <v>276</v>
      </c>
      <c r="B13" s="47" t="s">
        <v>277</v>
      </c>
      <c r="C13" s="47" t="s">
        <v>278</v>
      </c>
      <c r="D13" s="55">
        <v>46150.0</v>
      </c>
      <c r="E13" s="48">
        <f>COUNTIF('UG-3 Casos de prueba'!$B$6:$B$55,"&lt;&gt;")</f>
        <v>11</v>
      </c>
      <c r="F13" s="48">
        <f>COUNTIF('UG-3 Casos de prueba'!$G$6:$G$55,"Aprobado")</f>
        <v>8</v>
      </c>
      <c r="G13" s="48">
        <f>COUNTIF('UG-3 Casos de prueba'!$G$6:$G$55,"Fallido")</f>
        <v>3</v>
      </c>
      <c r="H13" s="48">
        <f>COUNTIF('UG-3 Casos de prueba'!$G$6:$G$55,"Omitido")</f>
        <v>0</v>
      </c>
      <c r="I13" s="48">
        <f>COUNTIF('UG-3 Reportes de errores'!$B$6:$B$45,"&lt;&gt;")</f>
        <v>3</v>
      </c>
      <c r="J13" s="49" t="str">
        <f t="shared" si="1"/>
        <v>Requiere atención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7" t="s">
        <v>282</v>
      </c>
      <c r="B15" s="2"/>
      <c r="C15" s="2"/>
      <c r="D15" s="2"/>
      <c r="E15" s="2"/>
      <c r="F15" s="2"/>
      <c r="G15" s="2"/>
      <c r="H15" s="2"/>
      <c r="I15" s="2"/>
      <c r="J15" s="3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4.0" customHeight="1">
      <c r="A16" s="56" t="s">
        <v>283</v>
      </c>
      <c r="B16" s="57" t="s">
        <v>284</v>
      </c>
      <c r="C16" s="2"/>
      <c r="D16" s="2"/>
      <c r="E16" s="2"/>
      <c r="F16" s="2"/>
      <c r="G16" s="2"/>
      <c r="H16" s="2"/>
      <c r="I16" s="2"/>
      <c r="J16" s="3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4.0" customHeight="1">
      <c r="A17" s="6" t="s">
        <v>285</v>
      </c>
      <c r="B17" s="58" t="s">
        <v>286</v>
      </c>
      <c r="C17" s="2"/>
      <c r="D17" s="2"/>
      <c r="E17" s="2"/>
      <c r="F17" s="2"/>
      <c r="G17" s="2"/>
      <c r="H17" s="2"/>
      <c r="I17" s="2"/>
      <c r="J17" s="3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autoFilter ref="$A$10:$J$13"/>
  <mergeCells count="10">
    <mergeCell ref="A15:J15"/>
    <mergeCell ref="B16:J16"/>
    <mergeCell ref="B17:J17"/>
    <mergeCell ref="A1:J1"/>
    <mergeCell ref="A3:J3"/>
    <mergeCell ref="B4:J4"/>
    <mergeCell ref="B5:J5"/>
    <mergeCell ref="B6:J6"/>
    <mergeCell ref="B7:J7"/>
    <mergeCell ref="A9:J9"/>
  </mergeCells>
  <conditionalFormatting sqref="J11:J13">
    <cfRule type="expression" dxfId="3" priority="1">
      <formula>$J11="Completada"</formula>
    </cfRule>
  </conditionalFormatting>
  <conditionalFormatting sqref="J11:J13">
    <cfRule type="expression" dxfId="4" priority="2">
      <formula>$J11="Requiere atención"</formula>
    </cfRule>
  </conditionalFormatting>
  <conditionalFormatting sqref="J11:J13">
    <cfRule type="expression" dxfId="5" priority="3">
      <formula>$J11="En progreso"</formula>
    </cfRule>
  </conditionalFormatting>
  <conditionalFormatting sqref="J11:J13">
    <cfRule type="expression" dxfId="6" priority="4">
      <formula>$J11="No iniciada"</formula>
    </cfRule>
  </conditionalFormatting>
  <hyperlinks>
    <hyperlink r:id="rId1" location="/" ref="B17"/>
  </hyperlinks>
  <printOptions/>
  <pageMargins bottom="1.0" footer="0.0" header="0.0" left="0.75" right="0.75" top="1.0"/>
  <pageSetup fitToHeight="0" paperSize="9" orientation="portrait"/>
  <headerFooter>
    <oddFooter>&amp;CUrban Grocers API Testing Project&amp;RPage &amp;P of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C78A8"/>
    <pageSetUpPr fitToPage="1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15.0"/>
    <col customWidth="1" min="2" max="2" width="38.0"/>
    <col customWidth="1" min="3" max="3" width="25.0"/>
    <col customWidth="1" min="4" max="4" width="10.0"/>
    <col customWidth="1" min="5" max="5" width="48.0"/>
    <col customWidth="1" min="6" max="6" width="42.0"/>
    <col customWidth="1" min="7" max="7" width="15.0"/>
    <col customWidth="1" min="8" max="8" width="18.0"/>
  </cols>
  <sheetData>
    <row r="1" ht="33.75" customHeight="1">
      <c r="A1" s="1" t="s">
        <v>0</v>
      </c>
      <c r="B1" s="2"/>
      <c r="C1" s="2"/>
      <c r="D1" s="2"/>
      <c r="E1" s="2"/>
      <c r="F1" s="2"/>
      <c r="G1" s="2"/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1.75" customHeight="1">
      <c r="A2" s="5" t="s">
        <v>3</v>
      </c>
      <c r="B2" s="2"/>
      <c r="C2" s="2"/>
      <c r="D2" s="2"/>
      <c r="E2" s="2"/>
      <c r="F2" s="2"/>
      <c r="G2" s="2"/>
      <c r="H2" s="3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7.75" customHeight="1">
      <c r="A3" s="6" t="s">
        <v>6</v>
      </c>
      <c r="B3" s="8">
        <f>COUNTIF($B$7:$B$56,"&lt;&gt;")</f>
        <v>9</v>
      </c>
      <c r="C3" s="6" t="s">
        <v>8</v>
      </c>
      <c r="D3" s="8">
        <f>COUNTIF($G$7:$G$56,"Aprobado")</f>
        <v>5</v>
      </c>
      <c r="E3" s="6" t="s">
        <v>10</v>
      </c>
      <c r="F3" s="8">
        <f>COUNTIF($G$7:$G$56,"Fallido")</f>
        <v>4</v>
      </c>
      <c r="G3" s="6" t="s">
        <v>17</v>
      </c>
      <c r="H3" s="8">
        <f>COUNTIF($G$7:$G$56,"Omitido")</f>
        <v>0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39.75" customHeight="1">
      <c r="A6" s="9" t="s">
        <v>23</v>
      </c>
      <c r="B6" s="9" t="s">
        <v>26</v>
      </c>
      <c r="C6" s="9" t="s">
        <v>27</v>
      </c>
      <c r="D6" s="9" t="s">
        <v>28</v>
      </c>
      <c r="E6" s="9" t="s">
        <v>30</v>
      </c>
      <c r="F6" s="18" t="s">
        <v>13</v>
      </c>
      <c r="G6" s="18" t="s">
        <v>31</v>
      </c>
      <c r="H6" s="9" t="s">
        <v>9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05.75" customHeight="1">
      <c r="A7" s="21" t="s">
        <v>34</v>
      </c>
      <c r="B7" s="23" t="s">
        <v>36</v>
      </c>
      <c r="C7" s="12" t="s">
        <v>39</v>
      </c>
      <c r="D7" s="22">
        <v>1.0</v>
      </c>
      <c r="E7" s="12" t="s">
        <v>41</v>
      </c>
      <c r="F7" s="13" t="s">
        <v>42</v>
      </c>
      <c r="G7" s="22" t="s">
        <v>40</v>
      </c>
      <c r="H7" s="25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05.0" customHeight="1">
      <c r="A8" s="21" t="s">
        <v>59</v>
      </c>
      <c r="B8" s="30" t="s">
        <v>62</v>
      </c>
      <c r="C8" s="12" t="s">
        <v>69</v>
      </c>
      <c r="D8" s="22">
        <v>1.0</v>
      </c>
      <c r="E8" s="12" t="s">
        <v>73</v>
      </c>
      <c r="F8" s="13" t="s">
        <v>74</v>
      </c>
      <c r="G8" s="22" t="s">
        <v>40</v>
      </c>
      <c r="H8" s="25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61.5" customHeight="1">
      <c r="A9" s="21" t="s">
        <v>81</v>
      </c>
      <c r="B9" s="23" t="s">
        <v>82</v>
      </c>
      <c r="C9" s="12" t="s">
        <v>83</v>
      </c>
      <c r="D9" s="22">
        <v>1.0</v>
      </c>
      <c r="E9" s="12" t="s">
        <v>84</v>
      </c>
      <c r="F9" s="13" t="s">
        <v>22</v>
      </c>
      <c r="G9" s="22" t="s">
        <v>55</v>
      </c>
      <c r="H9" s="10" t="s">
        <v>18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72.0" customHeight="1">
      <c r="A10" s="21" t="s">
        <v>92</v>
      </c>
      <c r="B10" s="30" t="s">
        <v>93</v>
      </c>
      <c r="C10" s="12" t="s">
        <v>94</v>
      </c>
      <c r="D10" s="22">
        <v>1.0</v>
      </c>
      <c r="E10" s="14" t="s">
        <v>95</v>
      </c>
      <c r="F10" s="13" t="s">
        <v>97</v>
      </c>
      <c r="G10" s="22" t="s">
        <v>40</v>
      </c>
      <c r="H10" s="25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54.0" customHeight="1">
      <c r="A11" s="21" t="s">
        <v>103</v>
      </c>
      <c r="B11" s="23" t="s">
        <v>107</v>
      </c>
      <c r="C11" s="14" t="s">
        <v>108</v>
      </c>
      <c r="D11" s="22">
        <v>1.0</v>
      </c>
      <c r="E11" s="12" t="s">
        <v>109</v>
      </c>
      <c r="F11" s="34" t="s">
        <v>65</v>
      </c>
      <c r="G11" s="22" t="s">
        <v>55</v>
      </c>
      <c r="H11" s="21" t="s">
        <v>57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93.0" customHeight="1">
      <c r="A12" s="21" t="s">
        <v>119</v>
      </c>
      <c r="B12" s="23" t="s">
        <v>120</v>
      </c>
      <c r="C12" s="12" t="s">
        <v>123</v>
      </c>
      <c r="D12" s="16">
        <v>1.0</v>
      </c>
      <c r="E12" s="14" t="s">
        <v>126</v>
      </c>
      <c r="F12" s="13" t="s">
        <v>128</v>
      </c>
      <c r="G12" s="22" t="s">
        <v>40</v>
      </c>
      <c r="H12" s="25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93.0" customHeight="1">
      <c r="A13" s="21" t="s">
        <v>129</v>
      </c>
      <c r="B13" s="30" t="s">
        <v>130</v>
      </c>
      <c r="C13" s="12" t="s">
        <v>132</v>
      </c>
      <c r="D13" s="22">
        <v>1.0</v>
      </c>
      <c r="E13" s="12" t="s">
        <v>133</v>
      </c>
      <c r="F13" s="13" t="s">
        <v>114</v>
      </c>
      <c r="G13" s="22" t="s">
        <v>55</v>
      </c>
      <c r="H13" s="21" t="s">
        <v>101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81.0" customHeight="1">
      <c r="A14" s="21" t="s">
        <v>136</v>
      </c>
      <c r="B14" s="40" t="s">
        <v>138</v>
      </c>
      <c r="C14" s="14" t="s">
        <v>140</v>
      </c>
      <c r="D14" s="22">
        <v>1.0</v>
      </c>
      <c r="E14" s="12" t="s">
        <v>142</v>
      </c>
      <c r="F14" s="41" t="s">
        <v>143</v>
      </c>
      <c r="G14" s="22" t="s">
        <v>55</v>
      </c>
      <c r="H14" s="21" t="s">
        <v>135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54.0" customHeight="1">
      <c r="A15" s="21" t="s">
        <v>147</v>
      </c>
      <c r="B15" s="42" t="s">
        <v>148</v>
      </c>
      <c r="C15" s="12" t="s">
        <v>149</v>
      </c>
      <c r="D15" s="37">
        <v>1.0</v>
      </c>
      <c r="E15" s="14" t="s">
        <v>151</v>
      </c>
      <c r="F15" s="43" t="s">
        <v>152</v>
      </c>
      <c r="G15" s="44" t="s">
        <v>40</v>
      </c>
      <c r="H15" s="36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54.0" customHeight="1">
      <c r="A16" s="35" t="s">
        <v>155</v>
      </c>
      <c r="B16" s="42"/>
      <c r="C16" s="12"/>
      <c r="D16" s="37"/>
      <c r="E16" s="14"/>
      <c r="F16" s="43"/>
      <c r="G16" s="44"/>
      <c r="H16" s="36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54.0" customHeight="1">
      <c r="A17" s="35" t="s">
        <v>161</v>
      </c>
      <c r="B17" s="36"/>
      <c r="C17" s="36"/>
      <c r="D17" s="36"/>
      <c r="E17" s="36"/>
      <c r="F17" s="38"/>
      <c r="G17" s="39"/>
      <c r="H17" s="36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54.0" customHeight="1">
      <c r="A18" s="35" t="s">
        <v>165</v>
      </c>
      <c r="B18" s="36"/>
      <c r="C18" s="36"/>
      <c r="D18" s="36"/>
      <c r="E18" s="36"/>
      <c r="F18" s="38"/>
      <c r="G18" s="39"/>
      <c r="H18" s="36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54.0" customHeight="1">
      <c r="A19" s="35" t="s">
        <v>169</v>
      </c>
      <c r="B19" s="36"/>
      <c r="C19" s="36"/>
      <c r="D19" s="36"/>
      <c r="E19" s="36"/>
      <c r="F19" s="38"/>
      <c r="G19" s="39"/>
      <c r="H19" s="36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54.0" customHeight="1">
      <c r="A20" s="35" t="s">
        <v>172</v>
      </c>
      <c r="B20" s="36"/>
      <c r="C20" s="36"/>
      <c r="D20" s="36"/>
      <c r="E20" s="36"/>
      <c r="F20" s="38"/>
      <c r="G20" s="39"/>
      <c r="H20" s="36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54.0" customHeight="1">
      <c r="A21" s="35" t="s">
        <v>176</v>
      </c>
      <c r="B21" s="36"/>
      <c r="C21" s="36"/>
      <c r="D21" s="36"/>
      <c r="E21" s="36"/>
      <c r="F21" s="38"/>
      <c r="G21" s="39"/>
      <c r="H21" s="36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54.0" customHeight="1">
      <c r="A22" s="35" t="s">
        <v>179</v>
      </c>
      <c r="B22" s="36"/>
      <c r="C22" s="36"/>
      <c r="D22" s="36"/>
      <c r="E22" s="36"/>
      <c r="F22" s="38"/>
      <c r="G22" s="39"/>
      <c r="H22" s="36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54.0" customHeight="1">
      <c r="A23" s="35" t="s">
        <v>184</v>
      </c>
      <c r="B23" s="36"/>
      <c r="C23" s="36"/>
      <c r="D23" s="36"/>
      <c r="E23" s="36"/>
      <c r="F23" s="38"/>
      <c r="G23" s="39"/>
      <c r="H23" s="36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54.0" customHeight="1">
      <c r="A24" s="35" t="s">
        <v>187</v>
      </c>
      <c r="B24" s="36"/>
      <c r="C24" s="36"/>
      <c r="D24" s="36"/>
      <c r="E24" s="36"/>
      <c r="F24" s="38"/>
      <c r="G24" s="39"/>
      <c r="H24" s="36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54.0" customHeight="1">
      <c r="A25" s="35" t="s">
        <v>190</v>
      </c>
      <c r="B25" s="36"/>
      <c r="C25" s="36"/>
      <c r="D25" s="36"/>
      <c r="E25" s="36"/>
      <c r="F25" s="38"/>
      <c r="G25" s="39"/>
      <c r="H25" s="36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54.0" customHeight="1">
      <c r="A26" s="35" t="s">
        <v>193</v>
      </c>
      <c r="B26" s="36"/>
      <c r="C26" s="36"/>
      <c r="D26" s="36"/>
      <c r="E26" s="36"/>
      <c r="F26" s="38"/>
      <c r="G26" s="39"/>
      <c r="H26" s="36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54.0" customHeight="1">
      <c r="A27" s="35" t="s">
        <v>195</v>
      </c>
      <c r="B27" s="36"/>
      <c r="C27" s="36"/>
      <c r="D27" s="36"/>
      <c r="E27" s="36"/>
      <c r="F27" s="38"/>
      <c r="G27" s="39"/>
      <c r="H27" s="36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54.0" customHeight="1">
      <c r="A28" s="35" t="s">
        <v>198</v>
      </c>
      <c r="B28" s="36"/>
      <c r="C28" s="36"/>
      <c r="D28" s="36"/>
      <c r="E28" s="36"/>
      <c r="F28" s="38"/>
      <c r="G28" s="39"/>
      <c r="H28" s="36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54.0" customHeight="1">
      <c r="A29" s="35" t="s">
        <v>200</v>
      </c>
      <c r="B29" s="36"/>
      <c r="C29" s="36"/>
      <c r="D29" s="36"/>
      <c r="E29" s="36"/>
      <c r="F29" s="38"/>
      <c r="G29" s="39"/>
      <c r="H29" s="36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54.0" customHeight="1">
      <c r="A30" s="35" t="s">
        <v>203</v>
      </c>
      <c r="B30" s="36"/>
      <c r="C30" s="36"/>
      <c r="D30" s="36"/>
      <c r="E30" s="36"/>
      <c r="F30" s="38"/>
      <c r="G30" s="39"/>
      <c r="H30" s="36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54.0" customHeight="1">
      <c r="A31" s="35" t="s">
        <v>207</v>
      </c>
      <c r="B31" s="36"/>
      <c r="C31" s="36"/>
      <c r="D31" s="36"/>
      <c r="E31" s="36"/>
      <c r="F31" s="38"/>
      <c r="G31" s="39"/>
      <c r="H31" s="36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54.0" customHeight="1">
      <c r="A32" s="35" t="s">
        <v>210</v>
      </c>
      <c r="B32" s="36"/>
      <c r="C32" s="36"/>
      <c r="D32" s="36"/>
      <c r="E32" s="36"/>
      <c r="F32" s="38"/>
      <c r="G32" s="39"/>
      <c r="H32" s="36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54.0" customHeight="1">
      <c r="A33" s="35" t="s">
        <v>213</v>
      </c>
      <c r="B33" s="36"/>
      <c r="C33" s="36"/>
      <c r="D33" s="36"/>
      <c r="E33" s="36"/>
      <c r="F33" s="38"/>
      <c r="G33" s="39"/>
      <c r="H33" s="36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54.0" customHeight="1">
      <c r="A34" s="35" t="s">
        <v>215</v>
      </c>
      <c r="B34" s="36"/>
      <c r="C34" s="36"/>
      <c r="D34" s="36"/>
      <c r="E34" s="36"/>
      <c r="F34" s="38"/>
      <c r="G34" s="39"/>
      <c r="H34" s="36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54.0" customHeight="1">
      <c r="A35" s="35" t="s">
        <v>218</v>
      </c>
      <c r="B35" s="36"/>
      <c r="C35" s="36"/>
      <c r="D35" s="36"/>
      <c r="E35" s="36"/>
      <c r="F35" s="38"/>
      <c r="G35" s="39"/>
      <c r="H35" s="36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54.0" customHeight="1">
      <c r="A36" s="35" t="s">
        <v>221</v>
      </c>
      <c r="B36" s="36"/>
      <c r="C36" s="36"/>
      <c r="D36" s="36"/>
      <c r="E36" s="36"/>
      <c r="F36" s="38"/>
      <c r="G36" s="39"/>
      <c r="H36" s="36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54.0" customHeight="1">
      <c r="A37" s="35" t="s">
        <v>224</v>
      </c>
      <c r="B37" s="36"/>
      <c r="C37" s="36"/>
      <c r="D37" s="36"/>
      <c r="E37" s="36"/>
      <c r="F37" s="38"/>
      <c r="G37" s="39"/>
      <c r="H37" s="36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54.0" customHeight="1">
      <c r="A38" s="35" t="s">
        <v>226</v>
      </c>
      <c r="B38" s="36"/>
      <c r="C38" s="36"/>
      <c r="D38" s="36"/>
      <c r="E38" s="36"/>
      <c r="F38" s="38"/>
      <c r="G38" s="39"/>
      <c r="H38" s="36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54.0" customHeight="1">
      <c r="A39" s="35" t="s">
        <v>229</v>
      </c>
      <c r="B39" s="36"/>
      <c r="C39" s="36"/>
      <c r="D39" s="36"/>
      <c r="E39" s="36"/>
      <c r="F39" s="38"/>
      <c r="G39" s="39"/>
      <c r="H39" s="36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54.0" customHeight="1">
      <c r="A40" s="35" t="s">
        <v>231</v>
      </c>
      <c r="B40" s="36"/>
      <c r="C40" s="36"/>
      <c r="D40" s="36"/>
      <c r="E40" s="36"/>
      <c r="F40" s="38"/>
      <c r="G40" s="39"/>
      <c r="H40" s="36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54.0" customHeight="1">
      <c r="A41" s="35" t="s">
        <v>234</v>
      </c>
      <c r="B41" s="36"/>
      <c r="C41" s="36"/>
      <c r="D41" s="36"/>
      <c r="E41" s="36"/>
      <c r="F41" s="38"/>
      <c r="G41" s="39"/>
      <c r="H41" s="36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54.0" customHeight="1">
      <c r="A42" s="35" t="s">
        <v>236</v>
      </c>
      <c r="B42" s="36"/>
      <c r="C42" s="36"/>
      <c r="D42" s="36"/>
      <c r="E42" s="36"/>
      <c r="F42" s="38"/>
      <c r="G42" s="39"/>
      <c r="H42" s="36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54.0" customHeight="1">
      <c r="A43" s="35" t="s">
        <v>239</v>
      </c>
      <c r="B43" s="36"/>
      <c r="C43" s="36"/>
      <c r="D43" s="36"/>
      <c r="E43" s="36"/>
      <c r="F43" s="38"/>
      <c r="G43" s="39"/>
      <c r="H43" s="36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54.0" customHeight="1">
      <c r="A44" s="35" t="s">
        <v>242</v>
      </c>
      <c r="B44" s="36"/>
      <c r="C44" s="36"/>
      <c r="D44" s="36"/>
      <c r="E44" s="36"/>
      <c r="F44" s="38"/>
      <c r="G44" s="39"/>
      <c r="H44" s="36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54.0" customHeight="1">
      <c r="A45" s="35" t="s">
        <v>245</v>
      </c>
      <c r="B45" s="36"/>
      <c r="C45" s="36"/>
      <c r="D45" s="36"/>
      <c r="E45" s="36"/>
      <c r="F45" s="38"/>
      <c r="G45" s="39"/>
      <c r="H45" s="36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54.0" customHeight="1">
      <c r="A46" s="35" t="s">
        <v>247</v>
      </c>
      <c r="B46" s="36"/>
      <c r="C46" s="36"/>
      <c r="D46" s="36"/>
      <c r="E46" s="36"/>
      <c r="F46" s="38"/>
      <c r="G46" s="39"/>
      <c r="H46" s="36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54.0" customHeight="1">
      <c r="A47" s="35" t="s">
        <v>251</v>
      </c>
      <c r="B47" s="36"/>
      <c r="C47" s="36"/>
      <c r="D47" s="36"/>
      <c r="E47" s="36"/>
      <c r="F47" s="38"/>
      <c r="G47" s="39"/>
      <c r="H47" s="36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54.0" customHeight="1">
      <c r="A48" s="35" t="s">
        <v>255</v>
      </c>
      <c r="B48" s="36"/>
      <c r="C48" s="36"/>
      <c r="D48" s="36"/>
      <c r="E48" s="36"/>
      <c r="F48" s="38"/>
      <c r="G48" s="39"/>
      <c r="H48" s="36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54.0" customHeight="1">
      <c r="A49" s="35" t="s">
        <v>259</v>
      </c>
      <c r="B49" s="36"/>
      <c r="C49" s="36"/>
      <c r="D49" s="36"/>
      <c r="E49" s="36"/>
      <c r="F49" s="38"/>
      <c r="G49" s="39"/>
      <c r="H49" s="36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54.0" customHeight="1">
      <c r="A50" s="35" t="s">
        <v>260</v>
      </c>
      <c r="B50" s="36"/>
      <c r="C50" s="36"/>
      <c r="D50" s="36"/>
      <c r="E50" s="36"/>
      <c r="F50" s="38"/>
      <c r="G50" s="39"/>
      <c r="H50" s="36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54.0" customHeight="1">
      <c r="A51" s="35" t="s">
        <v>262</v>
      </c>
      <c r="B51" s="36"/>
      <c r="C51" s="36"/>
      <c r="D51" s="36"/>
      <c r="E51" s="36"/>
      <c r="F51" s="38"/>
      <c r="G51" s="39"/>
      <c r="H51" s="36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54.0" customHeight="1">
      <c r="A52" s="35" t="s">
        <v>264</v>
      </c>
      <c r="B52" s="36"/>
      <c r="C52" s="36"/>
      <c r="D52" s="36"/>
      <c r="E52" s="36"/>
      <c r="F52" s="38"/>
      <c r="G52" s="39"/>
      <c r="H52" s="36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54.0" customHeight="1">
      <c r="A53" s="35" t="s">
        <v>265</v>
      </c>
      <c r="B53" s="36"/>
      <c r="C53" s="36"/>
      <c r="D53" s="36"/>
      <c r="E53" s="36"/>
      <c r="F53" s="38"/>
      <c r="G53" s="39"/>
      <c r="H53" s="36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54.0" customHeight="1">
      <c r="A54" s="35" t="s">
        <v>267</v>
      </c>
      <c r="B54" s="36"/>
      <c r="C54" s="36"/>
      <c r="D54" s="36"/>
      <c r="E54" s="36"/>
      <c r="F54" s="38"/>
      <c r="G54" s="39"/>
      <c r="H54" s="36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54.0" customHeight="1">
      <c r="A55" s="35" t="s">
        <v>269</v>
      </c>
      <c r="B55" s="36"/>
      <c r="C55" s="36"/>
      <c r="D55" s="36"/>
      <c r="E55" s="36"/>
      <c r="F55" s="38"/>
      <c r="G55" s="39"/>
      <c r="H55" s="36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54.0" customHeight="1">
      <c r="A56" s="35" t="s">
        <v>270</v>
      </c>
      <c r="B56" s="36"/>
      <c r="C56" s="36"/>
      <c r="D56" s="36"/>
      <c r="E56" s="36"/>
      <c r="F56" s="38"/>
      <c r="G56" s="39"/>
      <c r="H56" s="36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autoFilter ref="$A$6:$H$56"/>
  <mergeCells count="2">
    <mergeCell ref="A1:H1"/>
    <mergeCell ref="A2:H2"/>
  </mergeCells>
  <conditionalFormatting sqref="G7:G56">
    <cfRule type="expression" dxfId="0" priority="1">
      <formula>G7="Aprobado"</formula>
    </cfRule>
  </conditionalFormatting>
  <conditionalFormatting sqref="G7:G56">
    <cfRule type="expression" dxfId="1" priority="2">
      <formula>G7="Fallido"</formula>
    </cfRule>
  </conditionalFormatting>
  <conditionalFormatting sqref="G7:G56">
    <cfRule type="expression" dxfId="2" priority="3">
      <formula>G7="Omitido"</formula>
    </cfRule>
  </conditionalFormatting>
  <printOptions/>
  <pageMargins bottom="1.0" footer="0.0" header="0.0" left="0.75" right="0.75" top="1.0"/>
  <pageSetup fitToHeight="0" paperSize="8" orientation="landscape"/>
  <headerFooter>
    <oddFooter>&amp;CUrban Grocers API Testing Project&amp;RPage &amp;P of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C78A8"/>
    <pageSetUpPr fitToPage="1"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7.0"/>
    <col customWidth="1" min="2" max="2" width="42.0"/>
    <col customWidth="1" min="3" max="3" width="54.0"/>
    <col customWidth="1" min="4" max="5" width="48.0"/>
    <col customWidth="1" min="6" max="6" width="15.0"/>
    <col customWidth="1" min="7" max="7" width="30.0"/>
  </cols>
  <sheetData>
    <row r="1" ht="33.75" customHeight="1">
      <c r="A1" s="1" t="s">
        <v>2</v>
      </c>
      <c r="B1" s="2"/>
      <c r="C1" s="2"/>
      <c r="D1" s="2"/>
      <c r="E1" s="2"/>
      <c r="F1" s="2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1.75" customHeight="1">
      <c r="A2" s="5" t="s">
        <v>3</v>
      </c>
      <c r="B2" s="2"/>
      <c r="C2" s="2"/>
      <c r="D2" s="2"/>
      <c r="E2" s="2"/>
      <c r="F2" s="2"/>
      <c r="G2" s="3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7" t="s">
        <v>7</v>
      </c>
      <c r="B3" s="2"/>
      <c r="C3" s="2"/>
      <c r="D3" s="2"/>
      <c r="E3" s="2"/>
      <c r="F3" s="2"/>
      <c r="G3" s="3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39.75" customHeight="1">
      <c r="A5" s="9" t="s">
        <v>9</v>
      </c>
      <c r="B5" s="9" t="s">
        <v>11</v>
      </c>
      <c r="C5" s="9" t="s">
        <v>12</v>
      </c>
      <c r="D5" s="9" t="s">
        <v>13</v>
      </c>
      <c r="E5" s="9" t="s">
        <v>14</v>
      </c>
      <c r="F5" s="9" t="s">
        <v>15</v>
      </c>
      <c r="G5" s="9" t="s">
        <v>16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35.0" customHeight="1">
      <c r="A6" s="10" t="s">
        <v>18</v>
      </c>
      <c r="B6" s="11" t="s">
        <v>19</v>
      </c>
      <c r="C6" s="12" t="s">
        <v>20</v>
      </c>
      <c r="D6" s="13" t="s">
        <v>22</v>
      </c>
      <c r="E6" s="14" t="s">
        <v>24</v>
      </c>
      <c r="F6" s="16" t="s">
        <v>25</v>
      </c>
      <c r="G6" s="28" t="s">
        <v>29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79.5" customHeight="1">
      <c r="A7" s="10" t="s">
        <v>57</v>
      </c>
      <c r="B7" s="11" t="s">
        <v>58</v>
      </c>
      <c r="C7" s="14" t="s">
        <v>63</v>
      </c>
      <c r="D7" s="13" t="s">
        <v>65</v>
      </c>
      <c r="E7" s="14" t="s">
        <v>66</v>
      </c>
      <c r="F7" s="16" t="s">
        <v>68</v>
      </c>
      <c r="G7" s="32" t="s">
        <v>71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38.0" customHeight="1">
      <c r="A8" s="21" t="s">
        <v>101</v>
      </c>
      <c r="B8" s="11" t="s">
        <v>104</v>
      </c>
      <c r="C8" s="33" t="s">
        <v>110</v>
      </c>
      <c r="D8" s="13" t="s">
        <v>114</v>
      </c>
      <c r="E8" s="14" t="s">
        <v>115</v>
      </c>
      <c r="F8" s="16" t="s">
        <v>68</v>
      </c>
      <c r="G8" s="32" t="s">
        <v>117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69.75" customHeight="1">
      <c r="A9" s="21" t="s">
        <v>135</v>
      </c>
      <c r="B9" s="11" t="s">
        <v>137</v>
      </c>
      <c r="C9" s="14" t="s">
        <v>141</v>
      </c>
      <c r="D9" s="41" t="s">
        <v>143</v>
      </c>
      <c r="E9" s="14" t="s">
        <v>144</v>
      </c>
      <c r="F9" s="16" t="s">
        <v>25</v>
      </c>
      <c r="G9" s="32" t="s">
        <v>145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48.0" customHeight="1">
      <c r="A10" s="10" t="s">
        <v>159</v>
      </c>
      <c r="B10" s="11"/>
      <c r="C10" s="14"/>
      <c r="D10" s="41"/>
      <c r="E10" s="14"/>
      <c r="F10" s="22"/>
      <c r="G10" s="33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57.75" customHeight="1">
      <c r="A11" s="35" t="s">
        <v>167</v>
      </c>
      <c r="B11" s="36"/>
      <c r="C11" s="36"/>
      <c r="D11" s="36"/>
      <c r="E11" s="36"/>
      <c r="F11" s="36"/>
      <c r="G11" s="36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57.75" customHeight="1">
      <c r="A12" s="35" t="s">
        <v>170</v>
      </c>
      <c r="B12" s="36"/>
      <c r="C12" s="36"/>
      <c r="D12" s="36"/>
      <c r="E12" s="36"/>
      <c r="F12" s="36"/>
      <c r="G12" s="36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57.75" customHeight="1">
      <c r="A13" s="35" t="s">
        <v>175</v>
      </c>
      <c r="B13" s="36"/>
      <c r="C13" s="36"/>
      <c r="D13" s="36"/>
      <c r="E13" s="36"/>
      <c r="F13" s="36"/>
      <c r="G13" s="36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57.75" customHeight="1">
      <c r="A14" s="35" t="s">
        <v>180</v>
      </c>
      <c r="B14" s="36"/>
      <c r="C14" s="36"/>
      <c r="D14" s="36"/>
      <c r="E14" s="36"/>
      <c r="F14" s="36"/>
      <c r="G14" s="36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57.75" customHeight="1">
      <c r="A15" s="35" t="s">
        <v>185</v>
      </c>
      <c r="B15" s="36"/>
      <c r="C15" s="36"/>
      <c r="D15" s="36"/>
      <c r="E15" s="36"/>
      <c r="F15" s="36"/>
      <c r="G15" s="36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57.75" customHeight="1">
      <c r="A16" s="35" t="s">
        <v>188</v>
      </c>
      <c r="B16" s="36"/>
      <c r="C16" s="36"/>
      <c r="D16" s="36"/>
      <c r="E16" s="36"/>
      <c r="F16" s="36"/>
      <c r="G16" s="36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57.75" customHeight="1">
      <c r="A17" s="35" t="s">
        <v>192</v>
      </c>
      <c r="B17" s="36"/>
      <c r="C17" s="36"/>
      <c r="D17" s="36"/>
      <c r="E17" s="36"/>
      <c r="F17" s="36"/>
      <c r="G17" s="36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57.75" customHeight="1">
      <c r="A18" s="35" t="s">
        <v>197</v>
      </c>
      <c r="B18" s="36"/>
      <c r="C18" s="36"/>
      <c r="D18" s="36"/>
      <c r="E18" s="36"/>
      <c r="F18" s="36"/>
      <c r="G18" s="36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57.75" customHeight="1">
      <c r="A19" s="35" t="s">
        <v>201</v>
      </c>
      <c r="B19" s="36"/>
      <c r="C19" s="36"/>
      <c r="D19" s="36"/>
      <c r="E19" s="36"/>
      <c r="F19" s="36"/>
      <c r="G19" s="36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57.75" customHeight="1">
      <c r="A20" s="35" t="s">
        <v>205</v>
      </c>
      <c r="B20" s="36"/>
      <c r="C20" s="36"/>
      <c r="D20" s="36"/>
      <c r="E20" s="36"/>
      <c r="F20" s="36"/>
      <c r="G20" s="36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57.75" customHeight="1">
      <c r="A21" s="35" t="s">
        <v>208</v>
      </c>
      <c r="B21" s="36"/>
      <c r="C21" s="36"/>
      <c r="D21" s="36"/>
      <c r="E21" s="36"/>
      <c r="F21" s="36"/>
      <c r="G21" s="36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57.75" customHeight="1">
      <c r="A22" s="35" t="s">
        <v>211</v>
      </c>
      <c r="B22" s="36"/>
      <c r="C22" s="36"/>
      <c r="D22" s="36"/>
      <c r="E22" s="36"/>
      <c r="F22" s="36"/>
      <c r="G22" s="36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57.75" customHeight="1">
      <c r="A23" s="35" t="s">
        <v>216</v>
      </c>
      <c r="B23" s="36"/>
      <c r="C23" s="36"/>
      <c r="D23" s="36"/>
      <c r="E23" s="36"/>
      <c r="F23" s="36"/>
      <c r="G23" s="36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57.75" customHeight="1">
      <c r="A24" s="35" t="s">
        <v>219</v>
      </c>
      <c r="B24" s="36"/>
      <c r="C24" s="36"/>
      <c r="D24" s="36"/>
      <c r="E24" s="36"/>
      <c r="F24" s="36"/>
      <c r="G24" s="36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57.75" customHeight="1">
      <c r="A25" s="35" t="s">
        <v>223</v>
      </c>
      <c r="B25" s="36"/>
      <c r="C25" s="36"/>
      <c r="D25" s="36"/>
      <c r="E25" s="36"/>
      <c r="F25" s="36"/>
      <c r="G25" s="36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57.75" customHeight="1">
      <c r="A26" s="35" t="s">
        <v>227</v>
      </c>
      <c r="B26" s="36"/>
      <c r="C26" s="36"/>
      <c r="D26" s="36"/>
      <c r="E26" s="36"/>
      <c r="F26" s="36"/>
      <c r="G26" s="36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57.75" customHeight="1">
      <c r="A27" s="35" t="s">
        <v>233</v>
      </c>
      <c r="B27" s="36"/>
      <c r="C27" s="36"/>
      <c r="D27" s="36"/>
      <c r="E27" s="36"/>
      <c r="F27" s="36"/>
      <c r="G27" s="36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57.75" customHeight="1">
      <c r="A28" s="35" t="s">
        <v>237</v>
      </c>
      <c r="B28" s="36"/>
      <c r="C28" s="36"/>
      <c r="D28" s="36"/>
      <c r="E28" s="36"/>
      <c r="F28" s="36"/>
      <c r="G28" s="36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57.75" customHeight="1">
      <c r="A29" s="35" t="s">
        <v>240</v>
      </c>
      <c r="B29" s="36"/>
      <c r="C29" s="36"/>
      <c r="D29" s="36"/>
      <c r="E29" s="36"/>
      <c r="F29" s="36"/>
      <c r="G29" s="36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57.75" customHeight="1">
      <c r="A30" s="35" t="s">
        <v>244</v>
      </c>
      <c r="B30" s="36"/>
      <c r="C30" s="36"/>
      <c r="D30" s="36"/>
      <c r="E30" s="36"/>
      <c r="F30" s="36"/>
      <c r="G30" s="36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57.75" customHeight="1">
      <c r="A31" s="35" t="s">
        <v>249</v>
      </c>
      <c r="B31" s="36"/>
      <c r="C31" s="36"/>
      <c r="D31" s="36"/>
      <c r="E31" s="36"/>
      <c r="F31" s="36"/>
      <c r="G31" s="36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57.75" customHeight="1">
      <c r="A32" s="35" t="s">
        <v>252</v>
      </c>
      <c r="B32" s="36"/>
      <c r="C32" s="36"/>
      <c r="D32" s="36"/>
      <c r="E32" s="36"/>
      <c r="F32" s="36"/>
      <c r="G32" s="36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57.75" customHeight="1">
      <c r="A33" s="35" t="s">
        <v>257</v>
      </c>
      <c r="B33" s="36"/>
      <c r="C33" s="36"/>
      <c r="D33" s="36"/>
      <c r="E33" s="36"/>
      <c r="F33" s="36"/>
      <c r="G33" s="36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57.75" customHeight="1">
      <c r="A34" s="35" t="s">
        <v>261</v>
      </c>
      <c r="B34" s="36"/>
      <c r="C34" s="36"/>
      <c r="D34" s="36"/>
      <c r="E34" s="36"/>
      <c r="F34" s="36"/>
      <c r="G34" s="36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57.75" customHeight="1">
      <c r="A35" s="35" t="s">
        <v>263</v>
      </c>
      <c r="B35" s="36"/>
      <c r="C35" s="36"/>
      <c r="D35" s="36"/>
      <c r="E35" s="36"/>
      <c r="F35" s="36"/>
      <c r="G35" s="36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57.75" customHeight="1">
      <c r="A36" s="35" t="s">
        <v>266</v>
      </c>
      <c r="B36" s="36"/>
      <c r="C36" s="36"/>
      <c r="D36" s="36"/>
      <c r="E36" s="36"/>
      <c r="F36" s="36"/>
      <c r="G36" s="36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57.75" customHeight="1">
      <c r="A37" s="35" t="s">
        <v>268</v>
      </c>
      <c r="B37" s="36"/>
      <c r="C37" s="36"/>
      <c r="D37" s="36"/>
      <c r="E37" s="36"/>
      <c r="F37" s="36"/>
      <c r="G37" s="36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57.75" customHeight="1">
      <c r="A38" s="35" t="s">
        <v>271</v>
      </c>
      <c r="B38" s="36"/>
      <c r="C38" s="36"/>
      <c r="D38" s="36"/>
      <c r="E38" s="36"/>
      <c r="F38" s="36"/>
      <c r="G38" s="36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57.75" customHeight="1">
      <c r="A39" s="35" t="s">
        <v>272</v>
      </c>
      <c r="B39" s="36"/>
      <c r="C39" s="36"/>
      <c r="D39" s="36"/>
      <c r="E39" s="36"/>
      <c r="F39" s="36"/>
      <c r="G39" s="36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57.75" customHeight="1">
      <c r="A40" s="35" t="s">
        <v>273</v>
      </c>
      <c r="B40" s="36"/>
      <c r="C40" s="36"/>
      <c r="D40" s="36"/>
      <c r="E40" s="36"/>
      <c r="F40" s="36"/>
      <c r="G40" s="36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57.75" customHeight="1">
      <c r="A41" s="35" t="s">
        <v>274</v>
      </c>
      <c r="B41" s="36"/>
      <c r="C41" s="36"/>
      <c r="D41" s="36"/>
      <c r="E41" s="36"/>
      <c r="F41" s="36"/>
      <c r="G41" s="36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57.75" customHeight="1">
      <c r="A42" s="35" t="s">
        <v>275</v>
      </c>
      <c r="B42" s="36"/>
      <c r="C42" s="36"/>
      <c r="D42" s="36"/>
      <c r="E42" s="36"/>
      <c r="F42" s="36"/>
      <c r="G42" s="36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57.75" customHeight="1">
      <c r="A43" s="35" t="s">
        <v>279</v>
      </c>
      <c r="B43" s="36"/>
      <c r="C43" s="36"/>
      <c r="D43" s="36"/>
      <c r="E43" s="36"/>
      <c r="F43" s="36"/>
      <c r="G43" s="36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57.75" customHeight="1">
      <c r="A44" s="35" t="s">
        <v>280</v>
      </c>
      <c r="B44" s="36"/>
      <c r="C44" s="36"/>
      <c r="D44" s="36"/>
      <c r="E44" s="36"/>
      <c r="F44" s="36"/>
      <c r="G44" s="36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57.75" customHeight="1">
      <c r="A45" s="35" t="s">
        <v>281</v>
      </c>
      <c r="B45" s="36"/>
      <c r="C45" s="36"/>
      <c r="D45" s="36"/>
      <c r="E45" s="36"/>
      <c r="F45" s="36"/>
      <c r="G45" s="36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autoFilter ref="$A$5:$G$45"/>
  <mergeCells count="3">
    <mergeCell ref="A1:G1"/>
    <mergeCell ref="A2:G2"/>
    <mergeCell ref="A3:G3"/>
  </mergeCells>
  <conditionalFormatting sqref="F6:F45">
    <cfRule type="expression" dxfId="7" priority="1">
      <formula>F6="Crítica"</formula>
    </cfRule>
  </conditionalFormatting>
  <conditionalFormatting sqref="F6:F45">
    <cfRule type="expression" dxfId="8" priority="2">
      <formula>F6="Alta"</formula>
    </cfRule>
  </conditionalFormatting>
  <conditionalFormatting sqref="F6:F45">
    <cfRule type="expression" dxfId="2" priority="3">
      <formula>F6="Media"</formula>
    </cfRule>
  </conditionalFormatting>
  <conditionalFormatting sqref="F6:F45">
    <cfRule type="expression" dxfId="9" priority="4">
      <formula>F6="Baja"</formula>
    </cfRule>
  </conditionalFormatting>
  <hyperlinks>
    <hyperlink r:id="rId1" ref="G6"/>
    <hyperlink r:id="rId2" ref="G7"/>
    <hyperlink r:id="rId3" ref="G8"/>
    <hyperlink r:id="rId4" ref="G9"/>
  </hyperlinks>
  <printOptions/>
  <pageMargins bottom="1.0" footer="0.0" header="0.0" left="0.75" right="0.75" top="1.0"/>
  <pageSetup fitToHeight="0" paperSize="8" orientation="landscape"/>
  <headerFooter>
    <oddFooter>&amp;CUrban Grocers API Testing Project&amp;RPage &amp;P of </oddFooter>
  </headerFooter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9A14F"/>
    <pageSetUpPr fitToPage="1"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5.0"/>
    <col customWidth="1" min="2" max="2" width="38.0"/>
    <col customWidth="1" min="3" max="3" width="25.0"/>
    <col customWidth="1" min="4" max="4" width="10.0"/>
    <col customWidth="1" min="5" max="5" width="48.0"/>
    <col customWidth="1" min="6" max="6" width="42.0"/>
    <col customWidth="1" min="7" max="7" width="15.0"/>
    <col customWidth="1" min="8" max="8" width="18.0"/>
  </cols>
  <sheetData>
    <row r="1" ht="33.75" customHeight="1">
      <c r="A1" s="1" t="s">
        <v>1</v>
      </c>
      <c r="B1" s="2"/>
      <c r="C1" s="2"/>
      <c r="D1" s="2"/>
      <c r="E1" s="2"/>
      <c r="F1" s="2"/>
      <c r="G1" s="2"/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1.75" customHeight="1">
      <c r="A2" s="5" t="s">
        <v>4</v>
      </c>
      <c r="B2" s="2"/>
      <c r="C2" s="2"/>
      <c r="D2" s="2"/>
      <c r="E2" s="2"/>
      <c r="F2" s="2"/>
      <c r="G2" s="2"/>
      <c r="H2" s="3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7.75" customHeight="1">
      <c r="A3" s="6" t="s">
        <v>6</v>
      </c>
      <c r="B3" s="8">
        <f>COUNTIF($B$6:$B$55,"&lt;&gt;")</f>
        <v>9</v>
      </c>
      <c r="C3" s="6" t="s">
        <v>8</v>
      </c>
      <c r="D3" s="8">
        <f>COUNTIF($G$6:$G$55,"Aprobado")</f>
        <v>3</v>
      </c>
      <c r="E3" s="6" t="s">
        <v>10</v>
      </c>
      <c r="F3" s="8">
        <f>COUNTIF($G$6:$G$55,"Fallido")</f>
        <v>6</v>
      </c>
      <c r="G3" s="6" t="s">
        <v>17</v>
      </c>
      <c r="H3" s="8">
        <f>COUNTIF($G$6:$G$55,"Omitido")</f>
        <v>0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39.75" customHeight="1">
      <c r="A5" s="15" t="s">
        <v>23</v>
      </c>
      <c r="B5" s="17" t="s">
        <v>26</v>
      </c>
      <c r="C5" s="15" t="s">
        <v>27</v>
      </c>
      <c r="D5" s="15" t="s">
        <v>28</v>
      </c>
      <c r="E5" s="15" t="s">
        <v>30</v>
      </c>
      <c r="F5" s="15" t="s">
        <v>13</v>
      </c>
      <c r="G5" s="15" t="s">
        <v>31</v>
      </c>
      <c r="H5" s="15" t="s">
        <v>9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05.0" customHeight="1">
      <c r="A6" s="19" t="s">
        <v>32</v>
      </c>
      <c r="B6" s="20" t="s">
        <v>33</v>
      </c>
      <c r="C6" s="20" t="s">
        <v>35</v>
      </c>
      <c r="D6" s="22">
        <v>1.0</v>
      </c>
      <c r="E6" s="14" t="s">
        <v>37</v>
      </c>
      <c r="F6" s="13" t="s">
        <v>38</v>
      </c>
      <c r="G6" s="22" t="s">
        <v>40</v>
      </c>
      <c r="H6" s="2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14.75" customHeight="1">
      <c r="A7" s="19" t="s">
        <v>44</v>
      </c>
      <c r="B7" s="14" t="s">
        <v>45</v>
      </c>
      <c r="C7" s="20" t="s">
        <v>46</v>
      </c>
      <c r="D7" s="22">
        <v>1.0</v>
      </c>
      <c r="E7" s="14" t="s">
        <v>47</v>
      </c>
      <c r="F7" s="26" t="s">
        <v>48</v>
      </c>
      <c r="G7" s="22" t="s">
        <v>40</v>
      </c>
      <c r="H7" s="2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70.5" customHeight="1">
      <c r="A8" s="19" t="s">
        <v>49</v>
      </c>
      <c r="B8" s="14" t="s">
        <v>50</v>
      </c>
      <c r="C8" s="20" t="s">
        <v>51</v>
      </c>
      <c r="D8" s="22">
        <v>1.0</v>
      </c>
      <c r="E8" s="14" t="s">
        <v>53</v>
      </c>
      <c r="F8" s="13" t="s">
        <v>54</v>
      </c>
      <c r="G8" s="22" t="s">
        <v>55</v>
      </c>
      <c r="H8" s="10" t="s">
        <v>56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73.5" customHeight="1">
      <c r="A9" s="19" t="s">
        <v>60</v>
      </c>
      <c r="B9" s="14" t="s">
        <v>61</v>
      </c>
      <c r="C9" s="20" t="s">
        <v>64</v>
      </c>
      <c r="D9" s="22">
        <v>1.0</v>
      </c>
      <c r="E9" s="14" t="s">
        <v>67</v>
      </c>
      <c r="F9" s="13" t="s">
        <v>70</v>
      </c>
      <c r="G9" s="16" t="s">
        <v>40</v>
      </c>
      <c r="H9" s="2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09.5" customHeight="1">
      <c r="A10" s="19" t="s">
        <v>76</v>
      </c>
      <c r="B10" s="14" t="s">
        <v>77</v>
      </c>
      <c r="C10" s="20" t="s">
        <v>78</v>
      </c>
      <c r="D10" s="22">
        <v>1.0</v>
      </c>
      <c r="E10" s="14" t="s">
        <v>79</v>
      </c>
      <c r="F10" s="13" t="s">
        <v>80</v>
      </c>
      <c r="G10" s="16" t="s">
        <v>55</v>
      </c>
      <c r="H10" s="10" t="s">
        <v>56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84.75" customHeight="1">
      <c r="A11" s="19" t="s">
        <v>85</v>
      </c>
      <c r="B11" s="20" t="s">
        <v>86</v>
      </c>
      <c r="C11" s="31" t="s">
        <v>88</v>
      </c>
      <c r="D11" s="22">
        <v>1.0</v>
      </c>
      <c r="E11" s="14" t="s">
        <v>90</v>
      </c>
      <c r="F11" s="13" t="s">
        <v>91</v>
      </c>
      <c r="G11" s="22" t="s">
        <v>55</v>
      </c>
      <c r="H11" s="10" t="s">
        <v>56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00.5" customHeight="1">
      <c r="A12" s="19" t="s">
        <v>96</v>
      </c>
      <c r="B12" s="14" t="s">
        <v>98</v>
      </c>
      <c r="C12" s="20" t="s">
        <v>99</v>
      </c>
      <c r="D12" s="22">
        <v>1.0</v>
      </c>
      <c r="E12" s="14" t="s">
        <v>102</v>
      </c>
      <c r="F12" s="13" t="s">
        <v>105</v>
      </c>
      <c r="G12" s="22" t="s">
        <v>55</v>
      </c>
      <c r="H12" s="10" t="s">
        <v>56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06.5" customHeight="1">
      <c r="A13" s="19" t="s">
        <v>111</v>
      </c>
      <c r="B13" s="14" t="s">
        <v>112</v>
      </c>
      <c r="C13" s="20" t="s">
        <v>113</v>
      </c>
      <c r="D13" s="22">
        <v>1.0</v>
      </c>
      <c r="E13" s="14" t="s">
        <v>116</v>
      </c>
      <c r="F13" s="13" t="s">
        <v>118</v>
      </c>
      <c r="G13" s="22" t="s">
        <v>55</v>
      </c>
      <c r="H13" s="10" t="s">
        <v>56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76.5" customHeight="1">
      <c r="A14" s="19" t="s">
        <v>121</v>
      </c>
      <c r="B14" s="14" t="s">
        <v>122</v>
      </c>
      <c r="C14" s="31" t="s">
        <v>124</v>
      </c>
      <c r="D14" s="22">
        <v>1.0</v>
      </c>
      <c r="E14" s="14" t="s">
        <v>125</v>
      </c>
      <c r="F14" s="13" t="s">
        <v>127</v>
      </c>
      <c r="G14" s="22" t="s">
        <v>55</v>
      </c>
      <c r="H14" s="10" t="s">
        <v>56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54.0" customHeight="1">
      <c r="A15" s="35" t="s">
        <v>131</v>
      </c>
      <c r="B15" s="36"/>
      <c r="C15" s="36"/>
      <c r="D15" s="36"/>
      <c r="E15" s="37"/>
      <c r="F15" s="38"/>
      <c r="G15" s="39"/>
      <c r="H15" s="36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54.0" customHeight="1">
      <c r="A16" s="35" t="s">
        <v>139</v>
      </c>
      <c r="B16" s="36"/>
      <c r="C16" s="36"/>
      <c r="D16" s="36"/>
      <c r="E16" s="36"/>
      <c r="F16" s="38"/>
      <c r="G16" s="39"/>
      <c r="H16" s="36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54.0" customHeight="1">
      <c r="A17" s="35" t="s">
        <v>146</v>
      </c>
      <c r="B17" s="36"/>
      <c r="C17" s="36"/>
      <c r="D17" s="36"/>
      <c r="E17" s="36"/>
      <c r="F17" s="38"/>
      <c r="G17" s="39"/>
      <c r="H17" s="36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54.0" customHeight="1">
      <c r="A18" s="35" t="s">
        <v>150</v>
      </c>
      <c r="B18" s="36"/>
      <c r="C18" s="36"/>
      <c r="D18" s="36"/>
      <c r="E18" s="36"/>
      <c r="F18" s="38"/>
      <c r="G18" s="39"/>
      <c r="H18" s="36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54.0" customHeight="1">
      <c r="A19" s="35" t="s">
        <v>153</v>
      </c>
      <c r="B19" s="36"/>
      <c r="C19" s="36"/>
      <c r="D19" s="36"/>
      <c r="E19" s="36"/>
      <c r="F19" s="38"/>
      <c r="G19" s="39"/>
      <c r="H19" s="36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54.0" customHeight="1">
      <c r="A20" s="35" t="s">
        <v>156</v>
      </c>
      <c r="B20" s="36"/>
      <c r="C20" s="36"/>
      <c r="D20" s="36"/>
      <c r="E20" s="36"/>
      <c r="F20" s="38"/>
      <c r="G20" s="39"/>
      <c r="H20" s="36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54.0" customHeight="1">
      <c r="A21" s="35" t="s">
        <v>160</v>
      </c>
      <c r="B21" s="36"/>
      <c r="C21" s="36"/>
      <c r="D21" s="36"/>
      <c r="E21" s="36"/>
      <c r="F21" s="38"/>
      <c r="G21" s="39"/>
      <c r="H21" s="36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54.0" customHeight="1">
      <c r="A22" s="35" t="s">
        <v>163</v>
      </c>
      <c r="B22" s="36"/>
      <c r="C22" s="36"/>
      <c r="D22" s="36"/>
      <c r="E22" s="36"/>
      <c r="F22" s="38"/>
      <c r="G22" s="39"/>
      <c r="H22" s="36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54.0" customHeight="1">
      <c r="A23" s="35" t="s">
        <v>168</v>
      </c>
      <c r="B23" s="36"/>
      <c r="C23" s="36"/>
      <c r="D23" s="36"/>
      <c r="E23" s="36"/>
      <c r="F23" s="38"/>
      <c r="G23" s="39"/>
      <c r="H23" s="36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54.0" customHeight="1">
      <c r="A24" s="35" t="s">
        <v>171</v>
      </c>
      <c r="B24" s="36"/>
      <c r="C24" s="36"/>
      <c r="D24" s="36"/>
      <c r="E24" s="36"/>
      <c r="F24" s="38"/>
      <c r="G24" s="39"/>
      <c r="H24" s="36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54.0" customHeight="1">
      <c r="A25" s="35" t="s">
        <v>174</v>
      </c>
      <c r="B25" s="36"/>
      <c r="C25" s="36"/>
      <c r="D25" s="36"/>
      <c r="E25" s="36"/>
      <c r="F25" s="38"/>
      <c r="G25" s="39"/>
      <c r="H25" s="36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54.0" customHeight="1">
      <c r="A26" s="35" t="s">
        <v>178</v>
      </c>
      <c r="B26" s="36"/>
      <c r="C26" s="36"/>
      <c r="D26" s="36"/>
      <c r="E26" s="36"/>
      <c r="F26" s="38"/>
      <c r="G26" s="39"/>
      <c r="H26" s="36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54.0" customHeight="1">
      <c r="A27" s="35" t="s">
        <v>183</v>
      </c>
      <c r="B27" s="36"/>
      <c r="C27" s="36"/>
      <c r="D27" s="36"/>
      <c r="E27" s="36"/>
      <c r="F27" s="38"/>
      <c r="G27" s="39"/>
      <c r="H27" s="36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54.0" customHeight="1">
      <c r="A28" s="35" t="s">
        <v>186</v>
      </c>
      <c r="B28" s="36"/>
      <c r="C28" s="36"/>
      <c r="D28" s="36"/>
      <c r="E28" s="36"/>
      <c r="F28" s="38"/>
      <c r="G28" s="39"/>
      <c r="H28" s="36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54.0" customHeight="1">
      <c r="A29" s="35" t="s">
        <v>189</v>
      </c>
      <c r="B29" s="36"/>
      <c r="C29" s="36"/>
      <c r="D29" s="36"/>
      <c r="E29" s="36"/>
      <c r="F29" s="38"/>
      <c r="G29" s="39"/>
      <c r="H29" s="36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54.0" customHeight="1">
      <c r="A30" s="35" t="s">
        <v>191</v>
      </c>
      <c r="B30" s="36"/>
      <c r="C30" s="36"/>
      <c r="D30" s="36"/>
      <c r="E30" s="36"/>
      <c r="F30" s="38"/>
      <c r="G30" s="39"/>
      <c r="H30" s="36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54.0" customHeight="1">
      <c r="A31" s="35" t="s">
        <v>194</v>
      </c>
      <c r="B31" s="36"/>
      <c r="C31" s="36"/>
      <c r="D31" s="36"/>
      <c r="E31" s="36"/>
      <c r="F31" s="38"/>
      <c r="G31" s="39"/>
      <c r="H31" s="36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54.0" customHeight="1">
      <c r="A32" s="35" t="s">
        <v>196</v>
      </c>
      <c r="B32" s="36"/>
      <c r="C32" s="36"/>
      <c r="D32" s="36"/>
      <c r="E32" s="36"/>
      <c r="F32" s="38"/>
      <c r="G32" s="39"/>
      <c r="H32" s="36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54.0" customHeight="1">
      <c r="A33" s="35" t="s">
        <v>199</v>
      </c>
      <c r="B33" s="36"/>
      <c r="C33" s="36"/>
      <c r="D33" s="36"/>
      <c r="E33" s="36"/>
      <c r="F33" s="38"/>
      <c r="G33" s="39"/>
      <c r="H33" s="36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54.0" customHeight="1">
      <c r="A34" s="35" t="s">
        <v>202</v>
      </c>
      <c r="B34" s="36"/>
      <c r="C34" s="36"/>
      <c r="D34" s="36"/>
      <c r="E34" s="36"/>
      <c r="F34" s="38"/>
      <c r="G34" s="39"/>
      <c r="H34" s="36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54.0" customHeight="1">
      <c r="A35" s="35" t="s">
        <v>204</v>
      </c>
      <c r="B35" s="36"/>
      <c r="C35" s="36"/>
      <c r="D35" s="36"/>
      <c r="E35" s="36"/>
      <c r="F35" s="38"/>
      <c r="G35" s="39"/>
      <c r="H35" s="36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54.0" customHeight="1">
      <c r="A36" s="35" t="s">
        <v>206</v>
      </c>
      <c r="B36" s="36"/>
      <c r="C36" s="36"/>
      <c r="D36" s="36"/>
      <c r="E36" s="36"/>
      <c r="F36" s="38"/>
      <c r="G36" s="39"/>
      <c r="H36" s="36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54.0" customHeight="1">
      <c r="A37" s="35" t="s">
        <v>209</v>
      </c>
      <c r="B37" s="36"/>
      <c r="C37" s="36"/>
      <c r="D37" s="36"/>
      <c r="E37" s="36"/>
      <c r="F37" s="38"/>
      <c r="G37" s="39"/>
      <c r="H37" s="36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54.0" customHeight="1">
      <c r="A38" s="35" t="s">
        <v>212</v>
      </c>
      <c r="B38" s="36"/>
      <c r="C38" s="36"/>
      <c r="D38" s="36"/>
      <c r="E38" s="36"/>
      <c r="F38" s="38"/>
      <c r="G38" s="39"/>
      <c r="H38" s="36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54.0" customHeight="1">
      <c r="A39" s="35" t="s">
        <v>214</v>
      </c>
      <c r="B39" s="36"/>
      <c r="C39" s="36"/>
      <c r="D39" s="36"/>
      <c r="E39" s="36"/>
      <c r="F39" s="38"/>
      <c r="G39" s="39"/>
      <c r="H39" s="36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54.0" customHeight="1">
      <c r="A40" s="35" t="s">
        <v>217</v>
      </c>
      <c r="B40" s="36"/>
      <c r="C40" s="36"/>
      <c r="D40" s="36"/>
      <c r="E40" s="36"/>
      <c r="F40" s="38"/>
      <c r="G40" s="39"/>
      <c r="H40" s="36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54.0" customHeight="1">
      <c r="A41" s="35" t="s">
        <v>220</v>
      </c>
      <c r="B41" s="36"/>
      <c r="C41" s="36"/>
      <c r="D41" s="36"/>
      <c r="E41" s="36"/>
      <c r="F41" s="38"/>
      <c r="G41" s="39"/>
      <c r="H41" s="36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54.0" customHeight="1">
      <c r="A42" s="35" t="s">
        <v>222</v>
      </c>
      <c r="B42" s="36"/>
      <c r="C42" s="36"/>
      <c r="D42" s="36"/>
      <c r="E42" s="36"/>
      <c r="F42" s="38"/>
      <c r="G42" s="39"/>
      <c r="H42" s="36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54.0" customHeight="1">
      <c r="A43" s="35" t="s">
        <v>225</v>
      </c>
      <c r="B43" s="36"/>
      <c r="C43" s="36"/>
      <c r="D43" s="36"/>
      <c r="E43" s="36"/>
      <c r="F43" s="38"/>
      <c r="G43" s="39"/>
      <c r="H43" s="36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54.0" customHeight="1">
      <c r="A44" s="35" t="s">
        <v>228</v>
      </c>
      <c r="B44" s="36"/>
      <c r="C44" s="36"/>
      <c r="D44" s="36"/>
      <c r="E44" s="36"/>
      <c r="F44" s="38"/>
      <c r="G44" s="39"/>
      <c r="H44" s="36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54.0" customHeight="1">
      <c r="A45" s="35" t="s">
        <v>230</v>
      </c>
      <c r="B45" s="36"/>
      <c r="C45" s="36"/>
      <c r="D45" s="36"/>
      <c r="E45" s="36"/>
      <c r="F45" s="38"/>
      <c r="G45" s="39"/>
      <c r="H45" s="36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54.0" customHeight="1">
      <c r="A46" s="35" t="s">
        <v>232</v>
      </c>
      <c r="B46" s="36"/>
      <c r="C46" s="36"/>
      <c r="D46" s="36"/>
      <c r="E46" s="36"/>
      <c r="F46" s="38"/>
      <c r="G46" s="39"/>
      <c r="H46" s="36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54.0" customHeight="1">
      <c r="A47" s="35" t="s">
        <v>235</v>
      </c>
      <c r="B47" s="36"/>
      <c r="C47" s="36"/>
      <c r="D47" s="36"/>
      <c r="E47" s="36"/>
      <c r="F47" s="38"/>
      <c r="G47" s="39"/>
      <c r="H47" s="36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54.0" customHeight="1">
      <c r="A48" s="35" t="s">
        <v>238</v>
      </c>
      <c r="B48" s="36"/>
      <c r="C48" s="36"/>
      <c r="D48" s="36"/>
      <c r="E48" s="36"/>
      <c r="F48" s="38"/>
      <c r="G48" s="39"/>
      <c r="H48" s="36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54.0" customHeight="1">
      <c r="A49" s="35" t="s">
        <v>241</v>
      </c>
      <c r="B49" s="36"/>
      <c r="C49" s="36"/>
      <c r="D49" s="36"/>
      <c r="E49" s="36"/>
      <c r="F49" s="38"/>
      <c r="G49" s="39"/>
      <c r="H49" s="36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54.0" customHeight="1">
      <c r="A50" s="35" t="s">
        <v>243</v>
      </c>
      <c r="B50" s="36"/>
      <c r="C50" s="36"/>
      <c r="D50" s="36"/>
      <c r="E50" s="36"/>
      <c r="F50" s="38"/>
      <c r="G50" s="39"/>
      <c r="H50" s="36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54.0" customHeight="1">
      <c r="A51" s="35" t="s">
        <v>246</v>
      </c>
      <c r="B51" s="36"/>
      <c r="C51" s="36"/>
      <c r="D51" s="36"/>
      <c r="E51" s="36"/>
      <c r="F51" s="38"/>
      <c r="G51" s="39"/>
      <c r="H51" s="36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54.0" customHeight="1">
      <c r="A52" s="35" t="s">
        <v>248</v>
      </c>
      <c r="B52" s="36"/>
      <c r="C52" s="36"/>
      <c r="D52" s="36"/>
      <c r="E52" s="36"/>
      <c r="F52" s="38"/>
      <c r="G52" s="39"/>
      <c r="H52" s="36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54.0" customHeight="1">
      <c r="A53" s="35" t="s">
        <v>250</v>
      </c>
      <c r="B53" s="36"/>
      <c r="C53" s="36"/>
      <c r="D53" s="36"/>
      <c r="E53" s="36"/>
      <c r="F53" s="38"/>
      <c r="G53" s="39"/>
      <c r="H53" s="36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54.0" customHeight="1">
      <c r="A54" s="35" t="s">
        <v>254</v>
      </c>
      <c r="B54" s="36"/>
      <c r="C54" s="36"/>
      <c r="D54" s="36"/>
      <c r="E54" s="36"/>
      <c r="F54" s="38"/>
      <c r="G54" s="39"/>
      <c r="H54" s="36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54.0" customHeight="1">
      <c r="A55" s="35" t="s">
        <v>258</v>
      </c>
      <c r="B55" s="36"/>
      <c r="C55" s="36"/>
      <c r="D55" s="36"/>
      <c r="E55" s="36"/>
      <c r="F55" s="38"/>
      <c r="G55" s="39"/>
      <c r="H55" s="36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autoFilter ref="$A$5:$H$55"/>
  <mergeCells count="2">
    <mergeCell ref="A1:H1"/>
    <mergeCell ref="A2:H2"/>
  </mergeCells>
  <conditionalFormatting sqref="G6:G55">
    <cfRule type="expression" dxfId="0" priority="1">
      <formula>G6="Aprobado"</formula>
    </cfRule>
  </conditionalFormatting>
  <conditionalFormatting sqref="G6:G55">
    <cfRule type="expression" dxfId="1" priority="2">
      <formula>G6="Fallido"</formula>
    </cfRule>
  </conditionalFormatting>
  <conditionalFormatting sqref="G6:G55">
    <cfRule type="expression" dxfId="2" priority="3">
      <formula>G6="Omitido"</formula>
    </cfRule>
  </conditionalFormatting>
  <printOptions/>
  <pageMargins bottom="1.0" footer="0.0" header="0.0" left="0.75" right="0.75" top="1.0"/>
  <pageSetup fitToHeight="0" paperSize="8" orientation="landscape"/>
  <headerFooter>
    <oddFooter>&amp;CUrban Grocers API Testing Project&amp;RPage &amp;P of 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9A14F"/>
    <pageSetUpPr fitToPage="1"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7.0"/>
    <col customWidth="1" min="2" max="2" width="42.0"/>
    <col customWidth="1" min="3" max="3" width="54.0"/>
    <col customWidth="1" min="4" max="5" width="48.0"/>
    <col customWidth="1" min="6" max="6" width="15.0"/>
    <col customWidth="1" min="7" max="7" width="30.0"/>
  </cols>
  <sheetData>
    <row r="1" ht="33.75" customHeight="1">
      <c r="A1" s="1" t="s">
        <v>287</v>
      </c>
      <c r="B1" s="2"/>
      <c r="C1" s="2"/>
      <c r="D1" s="2"/>
      <c r="E1" s="2"/>
      <c r="F1" s="2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1.75" customHeight="1">
      <c r="A2" s="5" t="s">
        <v>4</v>
      </c>
      <c r="B2" s="2"/>
      <c r="C2" s="2"/>
      <c r="D2" s="2"/>
      <c r="E2" s="2"/>
      <c r="F2" s="2"/>
      <c r="G2" s="3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7.75" customHeight="1">
      <c r="A3" s="6" t="s">
        <v>288</v>
      </c>
      <c r="B3" s="8">
        <f>COUNTIF($B$6:$B$45,"&lt;&gt;")</f>
        <v>1</v>
      </c>
      <c r="C3" s="6" t="s">
        <v>289</v>
      </c>
      <c r="D3" s="8">
        <f>COUNTIF($F$6:$F$45,"Crítica")</f>
        <v>0</v>
      </c>
      <c r="E3" s="6"/>
      <c r="F3" s="6"/>
      <c r="G3" s="6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39.75" customHeight="1">
      <c r="A5" s="59" t="s">
        <v>9</v>
      </c>
      <c r="B5" s="59" t="s">
        <v>11</v>
      </c>
      <c r="C5" s="59" t="s">
        <v>12</v>
      </c>
      <c r="D5" s="59" t="s">
        <v>13</v>
      </c>
      <c r="E5" s="59" t="s">
        <v>14</v>
      </c>
      <c r="F5" s="59" t="s">
        <v>15</v>
      </c>
      <c r="G5" s="59" t="s">
        <v>16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74.0" customHeight="1">
      <c r="A6" s="10" t="s">
        <v>56</v>
      </c>
      <c r="B6" s="60" t="s">
        <v>290</v>
      </c>
      <c r="C6" s="61" t="s">
        <v>291</v>
      </c>
      <c r="D6" s="34" t="s">
        <v>292</v>
      </c>
      <c r="E6" s="40" t="s">
        <v>293</v>
      </c>
      <c r="F6" s="16" t="s">
        <v>25</v>
      </c>
      <c r="G6" s="62" t="s">
        <v>294</v>
      </c>
      <c r="H6" s="33"/>
      <c r="I6" s="16"/>
      <c r="J6" s="33"/>
      <c r="K6" s="33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84.0" customHeight="1">
      <c r="A7" s="21" t="s">
        <v>295</v>
      </c>
      <c r="B7" s="60"/>
      <c r="C7" s="40"/>
      <c r="D7" s="13"/>
      <c r="E7" s="14"/>
      <c r="F7" s="63"/>
      <c r="G7" s="33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79.5" customHeight="1">
      <c r="A8" s="21" t="s">
        <v>296</v>
      </c>
      <c r="B8" s="60"/>
      <c r="C8" s="40"/>
      <c r="D8" s="13"/>
      <c r="E8" s="40"/>
      <c r="F8" s="22"/>
      <c r="G8" s="33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58.5" customHeight="1">
      <c r="A9" s="21" t="s">
        <v>297</v>
      </c>
      <c r="B9" s="60"/>
      <c r="C9" s="40"/>
      <c r="D9" s="13"/>
      <c r="E9" s="14"/>
      <c r="F9" s="22"/>
      <c r="G9" s="33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90.75" customHeight="1">
      <c r="A10" s="21" t="s">
        <v>298</v>
      </c>
      <c r="B10" s="60"/>
      <c r="C10" s="40"/>
      <c r="D10" s="13"/>
      <c r="E10" s="14"/>
      <c r="F10" s="22"/>
      <c r="G10" s="33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61.5" customHeight="1">
      <c r="A11" s="21" t="s">
        <v>299</v>
      </c>
      <c r="B11" s="60"/>
      <c r="C11" s="40"/>
      <c r="D11" s="13"/>
      <c r="E11" s="40"/>
      <c r="F11" s="22"/>
      <c r="G11" s="33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57.75" customHeight="1">
      <c r="A12" s="35" t="s">
        <v>300</v>
      </c>
      <c r="B12" s="36"/>
      <c r="C12" s="36"/>
      <c r="D12" s="36"/>
      <c r="E12" s="36"/>
      <c r="F12" s="36"/>
      <c r="G12" s="36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57.75" customHeight="1">
      <c r="A13" s="35" t="s">
        <v>301</v>
      </c>
      <c r="B13" s="36"/>
      <c r="C13" s="64"/>
      <c r="D13" s="36"/>
      <c r="E13" s="36"/>
      <c r="F13" s="36"/>
      <c r="G13" s="36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57.75" customHeight="1">
      <c r="A14" s="35" t="s">
        <v>302</v>
      </c>
      <c r="B14" s="36"/>
      <c r="C14" s="36"/>
      <c r="D14" s="36"/>
      <c r="E14" s="36"/>
      <c r="F14" s="36"/>
      <c r="G14" s="36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57.75" customHeight="1">
      <c r="A15" s="35" t="s">
        <v>303</v>
      </c>
      <c r="B15" s="36"/>
      <c r="C15" s="36"/>
      <c r="D15" s="36"/>
      <c r="E15" s="36"/>
      <c r="F15" s="36"/>
      <c r="G15" s="36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57.75" customHeight="1">
      <c r="A16" s="35" t="s">
        <v>304</v>
      </c>
      <c r="B16" s="36"/>
      <c r="C16" s="36"/>
      <c r="D16" s="36"/>
      <c r="E16" s="36"/>
      <c r="F16" s="36"/>
      <c r="G16" s="36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57.75" customHeight="1">
      <c r="A17" s="35" t="s">
        <v>305</v>
      </c>
      <c r="B17" s="36"/>
      <c r="C17" s="36"/>
      <c r="D17" s="36"/>
      <c r="E17" s="36"/>
      <c r="F17" s="36"/>
      <c r="G17" s="36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57.75" customHeight="1">
      <c r="A18" s="35" t="s">
        <v>306</v>
      </c>
      <c r="B18" s="36"/>
      <c r="C18" s="36"/>
      <c r="D18" s="36"/>
      <c r="E18" s="36"/>
      <c r="F18" s="36"/>
      <c r="G18" s="36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57.75" customHeight="1">
      <c r="A19" s="35" t="s">
        <v>307</v>
      </c>
      <c r="B19" s="36"/>
      <c r="C19" s="36"/>
      <c r="D19" s="36"/>
      <c r="E19" s="36"/>
      <c r="F19" s="36"/>
      <c r="G19" s="36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57.75" customHeight="1">
      <c r="A20" s="35" t="s">
        <v>308</v>
      </c>
      <c r="B20" s="36"/>
      <c r="C20" s="36"/>
      <c r="D20" s="36"/>
      <c r="E20" s="36"/>
      <c r="F20" s="36"/>
      <c r="G20" s="36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57.75" customHeight="1">
      <c r="A21" s="35" t="s">
        <v>309</v>
      </c>
      <c r="B21" s="36"/>
      <c r="C21" s="36"/>
      <c r="D21" s="36"/>
      <c r="E21" s="36"/>
      <c r="F21" s="36"/>
      <c r="G21" s="36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57.75" customHeight="1">
      <c r="A22" s="35" t="s">
        <v>310</v>
      </c>
      <c r="B22" s="36"/>
      <c r="C22" s="36"/>
      <c r="D22" s="36"/>
      <c r="E22" s="36"/>
      <c r="F22" s="36"/>
      <c r="G22" s="36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57.75" customHeight="1">
      <c r="A23" s="35" t="s">
        <v>311</v>
      </c>
      <c r="B23" s="36"/>
      <c r="C23" s="36"/>
      <c r="D23" s="36"/>
      <c r="E23" s="36"/>
      <c r="F23" s="36"/>
      <c r="G23" s="36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57.75" customHeight="1">
      <c r="A24" s="35" t="s">
        <v>312</v>
      </c>
      <c r="B24" s="36"/>
      <c r="C24" s="36"/>
      <c r="D24" s="36"/>
      <c r="E24" s="36"/>
      <c r="F24" s="36"/>
      <c r="G24" s="36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57.75" customHeight="1">
      <c r="A25" s="35" t="s">
        <v>313</v>
      </c>
      <c r="B25" s="36"/>
      <c r="C25" s="36"/>
      <c r="D25" s="36"/>
      <c r="E25" s="36"/>
      <c r="F25" s="36"/>
      <c r="G25" s="36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57.75" customHeight="1">
      <c r="A26" s="35" t="s">
        <v>314</v>
      </c>
      <c r="B26" s="36"/>
      <c r="C26" s="36"/>
      <c r="D26" s="36"/>
      <c r="E26" s="36"/>
      <c r="F26" s="36"/>
      <c r="G26" s="36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57.75" customHeight="1">
      <c r="A27" s="35" t="s">
        <v>315</v>
      </c>
      <c r="B27" s="36"/>
      <c r="C27" s="36"/>
      <c r="D27" s="36"/>
      <c r="E27" s="36"/>
      <c r="F27" s="36"/>
      <c r="G27" s="36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57.75" customHeight="1">
      <c r="A28" s="35" t="s">
        <v>316</v>
      </c>
      <c r="B28" s="36"/>
      <c r="C28" s="36"/>
      <c r="D28" s="36"/>
      <c r="E28" s="36"/>
      <c r="F28" s="36"/>
      <c r="G28" s="36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57.75" customHeight="1">
      <c r="A29" s="35" t="s">
        <v>317</v>
      </c>
      <c r="B29" s="36"/>
      <c r="C29" s="36"/>
      <c r="D29" s="36"/>
      <c r="E29" s="36"/>
      <c r="F29" s="36"/>
      <c r="G29" s="36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57.75" customHeight="1">
      <c r="A30" s="35" t="s">
        <v>318</v>
      </c>
      <c r="B30" s="36"/>
      <c r="C30" s="36"/>
      <c r="D30" s="36"/>
      <c r="E30" s="36"/>
      <c r="F30" s="36"/>
      <c r="G30" s="36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57.75" customHeight="1">
      <c r="A31" s="35" t="s">
        <v>319</v>
      </c>
      <c r="B31" s="36"/>
      <c r="C31" s="36"/>
      <c r="D31" s="36"/>
      <c r="E31" s="36"/>
      <c r="F31" s="36"/>
      <c r="G31" s="36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57.75" customHeight="1">
      <c r="A32" s="35" t="s">
        <v>320</v>
      </c>
      <c r="B32" s="36"/>
      <c r="C32" s="36"/>
      <c r="D32" s="36"/>
      <c r="E32" s="36"/>
      <c r="F32" s="36"/>
      <c r="G32" s="36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57.75" customHeight="1">
      <c r="A33" s="35" t="s">
        <v>321</v>
      </c>
      <c r="B33" s="36"/>
      <c r="C33" s="36"/>
      <c r="D33" s="36"/>
      <c r="E33" s="36"/>
      <c r="F33" s="36"/>
      <c r="G33" s="36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57.75" customHeight="1">
      <c r="A34" s="35" t="s">
        <v>322</v>
      </c>
      <c r="B34" s="36"/>
      <c r="C34" s="36"/>
      <c r="D34" s="36"/>
      <c r="E34" s="36"/>
      <c r="F34" s="36"/>
      <c r="G34" s="36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57.75" customHeight="1">
      <c r="A35" s="35" t="s">
        <v>323</v>
      </c>
      <c r="B35" s="36"/>
      <c r="C35" s="36"/>
      <c r="D35" s="36"/>
      <c r="E35" s="36"/>
      <c r="F35" s="36"/>
      <c r="G35" s="36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57.75" customHeight="1">
      <c r="A36" s="35" t="s">
        <v>324</v>
      </c>
      <c r="B36" s="36"/>
      <c r="C36" s="36"/>
      <c r="D36" s="36"/>
      <c r="E36" s="36"/>
      <c r="F36" s="36"/>
      <c r="G36" s="36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57.75" customHeight="1">
      <c r="A37" s="35" t="s">
        <v>325</v>
      </c>
      <c r="B37" s="36"/>
      <c r="C37" s="36"/>
      <c r="D37" s="36"/>
      <c r="E37" s="36"/>
      <c r="F37" s="36"/>
      <c r="G37" s="36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57.75" customHeight="1">
      <c r="A38" s="35" t="s">
        <v>326</v>
      </c>
      <c r="B38" s="36"/>
      <c r="C38" s="36"/>
      <c r="D38" s="36"/>
      <c r="E38" s="36"/>
      <c r="F38" s="36"/>
      <c r="G38" s="36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57.75" customHeight="1">
      <c r="A39" s="35" t="s">
        <v>327</v>
      </c>
      <c r="B39" s="36"/>
      <c r="C39" s="36"/>
      <c r="D39" s="36"/>
      <c r="E39" s="36"/>
      <c r="F39" s="36"/>
      <c r="G39" s="36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57.75" customHeight="1">
      <c r="A40" s="35" t="s">
        <v>328</v>
      </c>
      <c r="B40" s="36"/>
      <c r="C40" s="36"/>
      <c r="D40" s="36"/>
      <c r="E40" s="36"/>
      <c r="F40" s="36"/>
      <c r="G40" s="36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57.75" customHeight="1">
      <c r="A41" s="35" t="s">
        <v>329</v>
      </c>
      <c r="B41" s="36"/>
      <c r="C41" s="36"/>
      <c r="D41" s="36"/>
      <c r="E41" s="36"/>
      <c r="F41" s="36"/>
      <c r="G41" s="36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57.75" customHeight="1">
      <c r="A42" s="35" t="s">
        <v>330</v>
      </c>
      <c r="B42" s="36"/>
      <c r="C42" s="36"/>
      <c r="D42" s="36"/>
      <c r="E42" s="36"/>
      <c r="F42" s="36"/>
      <c r="G42" s="36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57.75" customHeight="1">
      <c r="A43" s="35" t="s">
        <v>331</v>
      </c>
      <c r="B43" s="36"/>
      <c r="C43" s="36"/>
      <c r="D43" s="36"/>
      <c r="E43" s="36"/>
      <c r="F43" s="36"/>
      <c r="G43" s="36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57.75" customHeight="1">
      <c r="A44" s="35" t="s">
        <v>332</v>
      </c>
      <c r="B44" s="36"/>
      <c r="C44" s="36"/>
      <c r="D44" s="36"/>
      <c r="E44" s="36"/>
      <c r="F44" s="36"/>
      <c r="G44" s="36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57.75" customHeight="1">
      <c r="A45" s="35" t="s">
        <v>333</v>
      </c>
      <c r="B45" s="36"/>
      <c r="C45" s="36"/>
      <c r="D45" s="36"/>
      <c r="E45" s="36"/>
      <c r="F45" s="36"/>
      <c r="G45" s="36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autoFilter ref="$A$5:$G$45"/>
  <mergeCells count="2">
    <mergeCell ref="A1:G1"/>
    <mergeCell ref="A2:G2"/>
  </mergeCells>
  <conditionalFormatting sqref="F6:F45">
    <cfRule type="expression" dxfId="7" priority="1">
      <formula>F6="Crítica"</formula>
    </cfRule>
  </conditionalFormatting>
  <conditionalFormatting sqref="F6:F45">
    <cfRule type="expression" dxfId="8" priority="2">
      <formula>F6="Alta"</formula>
    </cfRule>
  </conditionalFormatting>
  <conditionalFormatting sqref="F6:F45">
    <cfRule type="expression" dxfId="2" priority="3">
      <formula>F6="Media"</formula>
    </cfRule>
  </conditionalFormatting>
  <conditionalFormatting sqref="F6:F45">
    <cfRule type="expression" dxfId="9" priority="4">
      <formula>F6="Baja"</formula>
    </cfRule>
  </conditionalFormatting>
  <hyperlinks>
    <hyperlink r:id="rId1" ref="G6"/>
  </hyperlinks>
  <printOptions/>
  <pageMargins bottom="1.0" footer="0.0" header="0.0" left="0.75" right="0.75" top="1.0"/>
  <pageSetup fitToHeight="0" paperSize="8" orientation="landscape"/>
  <headerFooter>
    <oddFooter>&amp;CUrban Grocers API Testing Project&amp;RPage &amp;P of 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279A2"/>
    <pageSetUpPr fitToPage="1"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5.0"/>
    <col customWidth="1" min="2" max="2" width="38.0"/>
    <col customWidth="1" min="3" max="3" width="25.0"/>
    <col customWidth="1" min="4" max="4" width="10.0"/>
    <col customWidth="1" min="5" max="5" width="48.0"/>
    <col customWidth="1" min="6" max="6" width="42.0"/>
    <col customWidth="1" min="7" max="7" width="15.0"/>
    <col customWidth="1" min="8" max="8" width="18.0"/>
  </cols>
  <sheetData>
    <row r="1" ht="33.75" customHeight="1">
      <c r="A1" s="1" t="s">
        <v>334</v>
      </c>
      <c r="B1" s="2"/>
      <c r="C1" s="2"/>
      <c r="D1" s="2"/>
      <c r="E1" s="2"/>
      <c r="F1" s="2"/>
      <c r="G1" s="2"/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1.75" customHeight="1">
      <c r="A2" s="5" t="s">
        <v>335</v>
      </c>
      <c r="B2" s="2"/>
      <c r="C2" s="2"/>
      <c r="D2" s="2"/>
      <c r="E2" s="2"/>
      <c r="F2" s="2"/>
      <c r="G2" s="2"/>
      <c r="H2" s="3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7.75" customHeight="1">
      <c r="A3" s="6" t="s">
        <v>6</v>
      </c>
      <c r="B3" s="8">
        <f>COUNTIF($B$6:$B$55,"&lt;&gt;")</f>
        <v>11</v>
      </c>
      <c r="C3" s="6" t="s">
        <v>8</v>
      </c>
      <c r="D3" s="8">
        <f>COUNTIF($G$6:$G$55,"Aprobado")</f>
        <v>8</v>
      </c>
      <c r="E3" s="6" t="s">
        <v>10</v>
      </c>
      <c r="F3" s="8">
        <f>COUNTIF($G$6:$G$55,"Fallido")</f>
        <v>3</v>
      </c>
      <c r="G3" s="6" t="s">
        <v>17</v>
      </c>
      <c r="H3" s="8">
        <f>COUNTIF($G$6:$G$55,"Omitido")</f>
        <v>0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39.75" customHeight="1">
      <c r="A5" s="15" t="s">
        <v>23</v>
      </c>
      <c r="B5" s="15" t="s">
        <v>26</v>
      </c>
      <c r="C5" s="15" t="s">
        <v>27</v>
      </c>
      <c r="D5" s="15" t="s">
        <v>28</v>
      </c>
      <c r="E5" s="15" t="s">
        <v>30</v>
      </c>
      <c r="F5" s="15" t="s">
        <v>13</v>
      </c>
      <c r="G5" s="15" t="s">
        <v>31</v>
      </c>
      <c r="H5" s="15" t="s">
        <v>9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96.0" customHeight="1">
      <c r="A6" s="65" t="s">
        <v>336</v>
      </c>
      <c r="B6" s="12" t="s">
        <v>337</v>
      </c>
      <c r="C6" s="66" t="s">
        <v>338</v>
      </c>
      <c r="D6" s="22">
        <v>1.0</v>
      </c>
      <c r="E6" s="14" t="s">
        <v>339</v>
      </c>
      <c r="F6" s="67" t="s">
        <v>340</v>
      </c>
      <c r="G6" s="22" t="s">
        <v>40</v>
      </c>
      <c r="H6" s="68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74.25" customHeight="1">
      <c r="A7" s="69" t="s">
        <v>341</v>
      </c>
      <c r="B7" s="14" t="s">
        <v>342</v>
      </c>
      <c r="C7" s="66" t="s">
        <v>343</v>
      </c>
      <c r="D7" s="22">
        <v>1.0</v>
      </c>
      <c r="E7" s="14" t="s">
        <v>344</v>
      </c>
      <c r="F7" s="13" t="s">
        <v>345</v>
      </c>
      <c r="G7" s="22" t="s">
        <v>55</v>
      </c>
      <c r="H7" s="21" t="s">
        <v>346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80.25" customHeight="1">
      <c r="A8" s="69" t="s">
        <v>347</v>
      </c>
      <c r="B8" s="12" t="s">
        <v>348</v>
      </c>
      <c r="C8" s="70" t="s">
        <v>349</v>
      </c>
      <c r="D8" s="22">
        <v>1.0</v>
      </c>
      <c r="E8" s="14" t="s">
        <v>350</v>
      </c>
      <c r="F8" s="13" t="s">
        <v>351</v>
      </c>
      <c r="G8" s="22" t="s">
        <v>40</v>
      </c>
      <c r="H8" s="68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84.75" customHeight="1">
      <c r="A9" s="69" t="s">
        <v>352</v>
      </c>
      <c r="B9" s="12" t="s">
        <v>353</v>
      </c>
      <c r="C9" s="70" t="s">
        <v>354</v>
      </c>
      <c r="D9" s="22">
        <v>1.0</v>
      </c>
      <c r="E9" s="71" t="s">
        <v>355</v>
      </c>
      <c r="F9" s="13" t="s">
        <v>356</v>
      </c>
      <c r="G9" s="22" t="s">
        <v>40</v>
      </c>
      <c r="H9" s="68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99.0" customHeight="1">
      <c r="A10" s="69" t="s">
        <v>357</v>
      </c>
      <c r="B10" s="12" t="s">
        <v>358</v>
      </c>
      <c r="C10" s="70" t="s">
        <v>359</v>
      </c>
      <c r="D10" s="22">
        <v>1.0</v>
      </c>
      <c r="E10" s="14" t="s">
        <v>360</v>
      </c>
      <c r="F10" s="13" t="s">
        <v>361</v>
      </c>
      <c r="G10" s="22" t="s">
        <v>40</v>
      </c>
      <c r="H10" s="68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83.25" customHeight="1">
      <c r="A11" s="69" t="s">
        <v>362</v>
      </c>
      <c r="B11" s="12" t="s">
        <v>363</v>
      </c>
      <c r="C11" s="70" t="s">
        <v>364</v>
      </c>
      <c r="D11" s="22">
        <v>1.0</v>
      </c>
      <c r="E11" s="14" t="s">
        <v>365</v>
      </c>
      <c r="F11" s="13" t="s">
        <v>361</v>
      </c>
      <c r="G11" s="22" t="s">
        <v>40</v>
      </c>
      <c r="H11" s="68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79.5" customHeight="1">
      <c r="A12" s="19" t="s">
        <v>366</v>
      </c>
      <c r="B12" s="40" t="s">
        <v>367</v>
      </c>
      <c r="C12" s="70" t="s">
        <v>368</v>
      </c>
      <c r="D12" s="22">
        <v>1.0</v>
      </c>
      <c r="E12" s="14" t="s">
        <v>369</v>
      </c>
      <c r="F12" s="13" t="s">
        <v>370</v>
      </c>
      <c r="G12" s="22" t="s">
        <v>40</v>
      </c>
      <c r="H12" s="68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78.75" customHeight="1">
      <c r="A13" s="19" t="s">
        <v>371</v>
      </c>
      <c r="B13" s="14" t="s">
        <v>372</v>
      </c>
      <c r="C13" s="70" t="s">
        <v>373</v>
      </c>
      <c r="D13" s="22">
        <v>1.0</v>
      </c>
      <c r="E13" s="14" t="s">
        <v>374</v>
      </c>
      <c r="F13" s="13" t="s">
        <v>375</v>
      </c>
      <c r="G13" s="22" t="s">
        <v>55</v>
      </c>
      <c r="H13" s="21" t="s">
        <v>376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72.75" customHeight="1">
      <c r="A14" s="10" t="s">
        <v>377</v>
      </c>
      <c r="B14" s="40" t="s">
        <v>378</v>
      </c>
      <c r="C14" s="70" t="s">
        <v>379</v>
      </c>
      <c r="D14" s="22">
        <v>1.0</v>
      </c>
      <c r="E14" s="14" t="s">
        <v>380</v>
      </c>
      <c r="F14" s="43" t="s">
        <v>381</v>
      </c>
      <c r="G14" s="22" t="s">
        <v>55</v>
      </c>
      <c r="H14" s="21" t="s">
        <v>382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66.75" customHeight="1">
      <c r="A15" s="10" t="s">
        <v>383</v>
      </c>
      <c r="B15" s="14" t="s">
        <v>384</v>
      </c>
      <c r="C15" s="70" t="s">
        <v>385</v>
      </c>
      <c r="D15" s="22">
        <v>1.0</v>
      </c>
      <c r="E15" s="14" t="s">
        <v>386</v>
      </c>
      <c r="F15" s="13" t="s">
        <v>387</v>
      </c>
      <c r="G15" s="22" t="s">
        <v>40</v>
      </c>
      <c r="H15" s="68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81.0" customHeight="1">
      <c r="A16" s="10" t="s">
        <v>388</v>
      </c>
      <c r="B16" s="72" t="s">
        <v>389</v>
      </c>
      <c r="C16" s="70" t="s">
        <v>390</v>
      </c>
      <c r="D16" s="22">
        <v>1.0</v>
      </c>
      <c r="E16" s="14" t="s">
        <v>391</v>
      </c>
      <c r="F16" s="67" t="s">
        <v>392</v>
      </c>
      <c r="G16" s="22" t="s">
        <v>40</v>
      </c>
      <c r="H16" s="68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54.0" customHeight="1">
      <c r="A17" s="35"/>
      <c r="B17" s="36"/>
      <c r="C17" s="36"/>
      <c r="D17" s="36"/>
      <c r="E17" s="36"/>
      <c r="F17" s="38"/>
      <c r="G17" s="39"/>
      <c r="H17" s="36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54.0" customHeight="1">
      <c r="A18" s="35"/>
      <c r="B18" s="36"/>
      <c r="C18" s="36"/>
      <c r="D18" s="36"/>
      <c r="E18" s="36"/>
      <c r="F18" s="38"/>
      <c r="G18" s="39"/>
      <c r="H18" s="36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54.0" customHeight="1">
      <c r="A19" s="35"/>
      <c r="B19" s="36"/>
      <c r="C19" s="36"/>
      <c r="D19" s="36"/>
      <c r="E19" s="36"/>
      <c r="F19" s="38"/>
      <c r="G19" s="39"/>
      <c r="H19" s="36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54.0" customHeight="1">
      <c r="A20" s="35"/>
      <c r="B20" s="36"/>
      <c r="C20" s="36"/>
      <c r="D20" s="36"/>
      <c r="E20" s="36"/>
      <c r="F20" s="38"/>
      <c r="G20" s="39"/>
      <c r="H20" s="36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54.0" customHeight="1">
      <c r="A21" s="35"/>
      <c r="B21" s="36"/>
      <c r="C21" s="36"/>
      <c r="D21" s="36"/>
      <c r="E21" s="36"/>
      <c r="F21" s="38"/>
      <c r="G21" s="39"/>
      <c r="H21" s="36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54.0" customHeight="1">
      <c r="A22" s="35"/>
      <c r="B22" s="36"/>
      <c r="C22" s="36"/>
      <c r="D22" s="36"/>
      <c r="E22" s="36"/>
      <c r="F22" s="38"/>
      <c r="G22" s="39"/>
      <c r="H22" s="36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54.0" customHeight="1">
      <c r="A23" s="35"/>
      <c r="B23" s="36"/>
      <c r="C23" s="36"/>
      <c r="D23" s="36"/>
      <c r="E23" s="36"/>
      <c r="F23" s="38"/>
      <c r="G23" s="39"/>
      <c r="H23" s="36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54.0" customHeight="1">
      <c r="A24" s="35"/>
      <c r="B24" s="36"/>
      <c r="C24" s="36"/>
      <c r="D24" s="36"/>
      <c r="E24" s="36"/>
      <c r="F24" s="38"/>
      <c r="G24" s="39"/>
      <c r="H24" s="36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54.0" customHeight="1">
      <c r="A25" s="35"/>
      <c r="B25" s="36"/>
      <c r="C25" s="36"/>
      <c r="D25" s="36"/>
      <c r="E25" s="36"/>
      <c r="F25" s="38"/>
      <c r="G25" s="39"/>
      <c r="H25" s="36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54.0" customHeight="1">
      <c r="A26" s="35"/>
      <c r="B26" s="36"/>
      <c r="C26" s="36"/>
      <c r="D26" s="36"/>
      <c r="E26" s="36"/>
      <c r="F26" s="38"/>
      <c r="G26" s="39"/>
      <c r="H26" s="36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54.0" customHeight="1">
      <c r="A27" s="35"/>
      <c r="B27" s="36"/>
      <c r="C27" s="36"/>
      <c r="D27" s="36"/>
      <c r="E27" s="36"/>
      <c r="F27" s="38"/>
      <c r="G27" s="39"/>
      <c r="H27" s="36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54.0" customHeight="1">
      <c r="A28" s="35"/>
      <c r="B28" s="36"/>
      <c r="C28" s="36"/>
      <c r="D28" s="36"/>
      <c r="E28" s="36"/>
      <c r="F28" s="38"/>
      <c r="G28" s="39"/>
      <c r="H28" s="36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54.0" customHeight="1">
      <c r="A29" s="35"/>
      <c r="B29" s="36"/>
      <c r="C29" s="36"/>
      <c r="D29" s="36"/>
      <c r="E29" s="36"/>
      <c r="F29" s="38"/>
      <c r="G29" s="39"/>
      <c r="H29" s="36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54.0" customHeight="1">
      <c r="A30" s="35"/>
      <c r="B30" s="36"/>
      <c r="C30" s="36"/>
      <c r="D30" s="36"/>
      <c r="E30" s="36"/>
      <c r="F30" s="38"/>
      <c r="G30" s="39"/>
      <c r="H30" s="36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54.0" customHeight="1">
      <c r="A31" s="35"/>
      <c r="B31" s="36"/>
      <c r="C31" s="36"/>
      <c r="D31" s="36"/>
      <c r="E31" s="36"/>
      <c r="F31" s="38"/>
      <c r="G31" s="39"/>
      <c r="H31" s="36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54.0" customHeight="1">
      <c r="A32" s="35"/>
      <c r="B32" s="36"/>
      <c r="C32" s="36"/>
      <c r="D32" s="36"/>
      <c r="E32" s="36"/>
      <c r="F32" s="38"/>
      <c r="G32" s="39"/>
      <c r="H32" s="36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54.0" customHeight="1">
      <c r="A33" s="35"/>
      <c r="B33" s="36"/>
      <c r="C33" s="36"/>
      <c r="D33" s="36"/>
      <c r="E33" s="36"/>
      <c r="F33" s="38"/>
      <c r="G33" s="39"/>
      <c r="H33" s="36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54.0" customHeight="1">
      <c r="A34" s="35"/>
      <c r="B34" s="36"/>
      <c r="C34" s="36"/>
      <c r="D34" s="36"/>
      <c r="E34" s="36"/>
      <c r="F34" s="38"/>
      <c r="G34" s="39"/>
      <c r="H34" s="36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54.0" customHeight="1">
      <c r="A35" s="35"/>
      <c r="B35" s="36"/>
      <c r="C35" s="36"/>
      <c r="D35" s="36"/>
      <c r="E35" s="36"/>
      <c r="F35" s="38"/>
      <c r="G35" s="39"/>
      <c r="H35" s="36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54.0" customHeight="1">
      <c r="A36" s="35"/>
      <c r="B36" s="36"/>
      <c r="C36" s="36"/>
      <c r="D36" s="36"/>
      <c r="E36" s="36"/>
      <c r="F36" s="38"/>
      <c r="G36" s="39"/>
      <c r="H36" s="36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54.0" customHeight="1">
      <c r="A37" s="35"/>
      <c r="B37" s="36"/>
      <c r="C37" s="36"/>
      <c r="D37" s="36"/>
      <c r="E37" s="36"/>
      <c r="F37" s="38"/>
      <c r="G37" s="39"/>
      <c r="H37" s="36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54.0" customHeight="1">
      <c r="A38" s="35"/>
      <c r="B38" s="36"/>
      <c r="C38" s="36"/>
      <c r="D38" s="36"/>
      <c r="E38" s="36"/>
      <c r="F38" s="38"/>
      <c r="G38" s="39"/>
      <c r="H38" s="36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54.0" customHeight="1">
      <c r="A39" s="35"/>
      <c r="B39" s="36"/>
      <c r="C39" s="36"/>
      <c r="D39" s="36"/>
      <c r="E39" s="36"/>
      <c r="F39" s="38"/>
      <c r="G39" s="39"/>
      <c r="H39" s="36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54.0" customHeight="1">
      <c r="A40" s="35"/>
      <c r="B40" s="36"/>
      <c r="C40" s="36"/>
      <c r="D40" s="36"/>
      <c r="E40" s="36"/>
      <c r="F40" s="38"/>
      <c r="G40" s="39"/>
      <c r="H40" s="36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54.0" customHeight="1">
      <c r="A41" s="35"/>
      <c r="B41" s="36"/>
      <c r="C41" s="36"/>
      <c r="D41" s="36"/>
      <c r="E41" s="36"/>
      <c r="F41" s="38"/>
      <c r="G41" s="39"/>
      <c r="H41" s="36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54.0" customHeight="1">
      <c r="A42" s="35"/>
      <c r="B42" s="36"/>
      <c r="C42" s="36"/>
      <c r="D42" s="36"/>
      <c r="E42" s="36"/>
      <c r="F42" s="38"/>
      <c r="G42" s="39"/>
      <c r="H42" s="36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54.0" customHeight="1">
      <c r="A43" s="35"/>
      <c r="B43" s="36"/>
      <c r="C43" s="36"/>
      <c r="D43" s="36"/>
      <c r="E43" s="36"/>
      <c r="F43" s="38"/>
      <c r="G43" s="39"/>
      <c r="H43" s="36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54.0" customHeight="1">
      <c r="A44" s="35"/>
      <c r="B44" s="36"/>
      <c r="C44" s="36"/>
      <c r="D44" s="36"/>
      <c r="E44" s="36"/>
      <c r="F44" s="38"/>
      <c r="G44" s="39"/>
      <c r="H44" s="36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54.0" customHeight="1">
      <c r="A45" s="35"/>
      <c r="B45" s="36"/>
      <c r="C45" s="36"/>
      <c r="D45" s="36"/>
      <c r="E45" s="36"/>
      <c r="F45" s="38"/>
      <c r="G45" s="39"/>
      <c r="H45" s="36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54.0" customHeight="1">
      <c r="A46" s="35"/>
      <c r="B46" s="36"/>
      <c r="C46" s="36"/>
      <c r="D46" s="36"/>
      <c r="E46" s="36"/>
      <c r="F46" s="38"/>
      <c r="G46" s="39"/>
      <c r="H46" s="36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54.0" customHeight="1">
      <c r="A47" s="35"/>
      <c r="B47" s="36"/>
      <c r="C47" s="36"/>
      <c r="D47" s="36"/>
      <c r="E47" s="36"/>
      <c r="F47" s="38"/>
      <c r="G47" s="39"/>
      <c r="H47" s="36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54.0" customHeight="1">
      <c r="A48" s="35"/>
      <c r="B48" s="36"/>
      <c r="C48" s="36"/>
      <c r="D48" s="36"/>
      <c r="E48" s="36"/>
      <c r="F48" s="38"/>
      <c r="G48" s="39"/>
      <c r="H48" s="36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54.0" customHeight="1">
      <c r="A49" s="35"/>
      <c r="B49" s="36"/>
      <c r="C49" s="36"/>
      <c r="D49" s="36"/>
      <c r="E49" s="36"/>
      <c r="F49" s="38"/>
      <c r="G49" s="39"/>
      <c r="H49" s="36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54.0" customHeight="1">
      <c r="A50" s="35"/>
      <c r="B50" s="36"/>
      <c r="C50" s="36"/>
      <c r="D50" s="36"/>
      <c r="E50" s="36"/>
      <c r="F50" s="38"/>
      <c r="G50" s="39"/>
      <c r="H50" s="36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54.0" customHeight="1">
      <c r="A51" s="35"/>
      <c r="B51" s="36"/>
      <c r="C51" s="36"/>
      <c r="D51" s="36"/>
      <c r="E51" s="36"/>
      <c r="F51" s="38"/>
      <c r="G51" s="39"/>
      <c r="H51" s="36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54.0" customHeight="1">
      <c r="A52" s="35"/>
      <c r="B52" s="36"/>
      <c r="C52" s="36"/>
      <c r="D52" s="36"/>
      <c r="E52" s="36"/>
      <c r="F52" s="38"/>
      <c r="G52" s="39"/>
      <c r="H52" s="36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54.0" customHeight="1">
      <c r="A53" s="35"/>
      <c r="B53" s="36"/>
      <c r="C53" s="36"/>
      <c r="D53" s="36"/>
      <c r="E53" s="36"/>
      <c r="F53" s="38"/>
      <c r="G53" s="39"/>
      <c r="H53" s="36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54.0" customHeight="1">
      <c r="A54" s="35"/>
      <c r="B54" s="36"/>
      <c r="C54" s="36"/>
      <c r="D54" s="36"/>
      <c r="E54" s="36"/>
      <c r="F54" s="38"/>
      <c r="G54" s="39"/>
      <c r="H54" s="36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54.0" customHeight="1">
      <c r="A55" s="35"/>
      <c r="B55" s="36"/>
      <c r="C55" s="36"/>
      <c r="D55" s="36"/>
      <c r="E55" s="36"/>
      <c r="F55" s="38"/>
      <c r="G55" s="39"/>
      <c r="H55" s="36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autoFilter ref="$A$5:$H$55"/>
  <mergeCells count="2">
    <mergeCell ref="A1:H1"/>
    <mergeCell ref="A2:H2"/>
  </mergeCells>
  <conditionalFormatting sqref="G6:G55">
    <cfRule type="expression" dxfId="0" priority="1">
      <formula>G6="Aprobado"</formula>
    </cfRule>
  </conditionalFormatting>
  <conditionalFormatting sqref="G6:G55">
    <cfRule type="expression" dxfId="1" priority="2">
      <formula>G6="Fallido"</formula>
    </cfRule>
  </conditionalFormatting>
  <conditionalFormatting sqref="G6:G55">
    <cfRule type="expression" dxfId="2" priority="3">
      <formula>G6="Omitido"</formula>
    </cfRule>
  </conditionalFormatting>
  <printOptions/>
  <pageMargins bottom="1.0" footer="0.0" header="0.0" left="0.75" right="0.75" top="1.0"/>
  <pageSetup fitToHeight="0" paperSize="8" orientation="landscape"/>
  <headerFooter>
    <oddFooter>&amp;CUrban Grocers API Testing Project&amp;RPage &amp;P of 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279A2"/>
    <pageSetUpPr fitToPage="1"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7.0"/>
    <col customWidth="1" min="2" max="2" width="42.0"/>
    <col customWidth="1" min="3" max="3" width="54.0"/>
    <col customWidth="1" min="4" max="5" width="48.0"/>
    <col customWidth="1" min="6" max="6" width="15.0"/>
    <col customWidth="1" min="7" max="7" width="30.0"/>
  </cols>
  <sheetData>
    <row r="1" ht="33.75" customHeight="1">
      <c r="A1" s="1" t="s">
        <v>393</v>
      </c>
      <c r="B1" s="2"/>
      <c r="C1" s="2"/>
      <c r="D1" s="2"/>
      <c r="E1" s="2"/>
      <c r="F1" s="2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1.75" customHeight="1">
      <c r="A2" s="5" t="s">
        <v>335</v>
      </c>
      <c r="B2" s="2"/>
      <c r="C2" s="2"/>
      <c r="D2" s="2"/>
      <c r="E2" s="2"/>
      <c r="F2" s="2"/>
      <c r="G2" s="3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7.75" customHeight="1">
      <c r="A3" s="6" t="s">
        <v>288</v>
      </c>
      <c r="B3" s="8">
        <f>COUNTIF($B$6:$B$45,"&lt;&gt;")</f>
        <v>3</v>
      </c>
      <c r="C3" s="6" t="s">
        <v>289</v>
      </c>
      <c r="D3" s="8">
        <f>COUNTIF($F$6:$F$45,"Crítica")</f>
        <v>0</v>
      </c>
      <c r="E3" s="6"/>
      <c r="F3" s="6"/>
      <c r="G3" s="6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39.75" customHeight="1">
      <c r="A5" s="45" t="s">
        <v>9</v>
      </c>
      <c r="B5" s="45" t="s">
        <v>11</v>
      </c>
      <c r="C5" s="45" t="s">
        <v>12</v>
      </c>
      <c r="D5" s="45" t="s">
        <v>13</v>
      </c>
      <c r="E5" s="45" t="s">
        <v>14</v>
      </c>
      <c r="F5" s="45" t="s">
        <v>15</v>
      </c>
      <c r="G5" s="45" t="s">
        <v>16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57.75" customHeight="1">
      <c r="A6" s="35" t="s">
        <v>346</v>
      </c>
      <c r="B6" s="11" t="s">
        <v>394</v>
      </c>
      <c r="C6" s="73" t="s">
        <v>395</v>
      </c>
      <c r="D6" s="13" t="s">
        <v>396</v>
      </c>
      <c r="E6" s="72" t="s">
        <v>397</v>
      </c>
      <c r="F6" s="74" t="s">
        <v>25</v>
      </c>
      <c r="G6" s="32" t="s">
        <v>398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57.75" customHeight="1">
      <c r="A7" s="35" t="s">
        <v>376</v>
      </c>
      <c r="B7" s="72" t="s">
        <v>399</v>
      </c>
      <c r="C7" s="73" t="s">
        <v>400</v>
      </c>
      <c r="D7" s="13" t="s">
        <v>375</v>
      </c>
      <c r="E7" s="72" t="s">
        <v>401</v>
      </c>
      <c r="F7" s="74" t="s">
        <v>68</v>
      </c>
      <c r="G7" s="32" t="s">
        <v>402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57.75" customHeight="1">
      <c r="A8" s="35" t="s">
        <v>382</v>
      </c>
      <c r="B8" s="72" t="s">
        <v>403</v>
      </c>
      <c r="C8" s="73" t="s">
        <v>404</v>
      </c>
      <c r="D8" s="43" t="s">
        <v>381</v>
      </c>
      <c r="E8" s="75" t="s">
        <v>405</v>
      </c>
      <c r="F8" s="74" t="s">
        <v>68</v>
      </c>
      <c r="G8" s="32" t="s">
        <v>406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57.75" customHeight="1">
      <c r="A9" s="35" t="s">
        <v>407</v>
      </c>
      <c r="B9" s="36"/>
      <c r="C9" s="14"/>
      <c r="D9" s="36"/>
      <c r="E9" s="36"/>
      <c r="F9" s="36"/>
      <c r="G9" s="36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57.75" customHeight="1">
      <c r="A10" s="35" t="s">
        <v>408</v>
      </c>
      <c r="B10" s="36"/>
      <c r="C10" s="36"/>
      <c r="D10" s="36"/>
      <c r="E10" s="36"/>
      <c r="F10" s="36"/>
      <c r="G10" s="36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57.75" customHeight="1">
      <c r="A11" s="35" t="s">
        <v>409</v>
      </c>
      <c r="B11" s="36"/>
      <c r="C11" s="36"/>
      <c r="D11" s="36"/>
      <c r="E11" s="36"/>
      <c r="F11" s="36"/>
      <c r="G11" s="36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57.75" customHeight="1">
      <c r="A12" s="35" t="s">
        <v>410</v>
      </c>
      <c r="B12" s="36"/>
      <c r="C12" s="36"/>
      <c r="D12" s="36"/>
      <c r="E12" s="36"/>
      <c r="F12" s="36"/>
      <c r="G12" s="36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57.75" customHeight="1">
      <c r="A13" s="35" t="s">
        <v>411</v>
      </c>
      <c r="B13" s="36"/>
      <c r="C13" s="36"/>
      <c r="D13" s="36"/>
      <c r="E13" s="36"/>
      <c r="F13" s="36"/>
      <c r="G13" s="36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57.75" customHeight="1">
      <c r="A14" s="35" t="s">
        <v>412</v>
      </c>
      <c r="B14" s="36"/>
      <c r="C14" s="36"/>
      <c r="D14" s="36"/>
      <c r="E14" s="36"/>
      <c r="F14" s="36"/>
      <c r="G14" s="36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57.75" customHeight="1">
      <c r="A15" s="35" t="s">
        <v>413</v>
      </c>
      <c r="B15" s="36"/>
      <c r="C15" s="36"/>
      <c r="D15" s="36"/>
      <c r="E15" s="36"/>
      <c r="F15" s="36"/>
      <c r="G15" s="36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57.75" customHeight="1">
      <c r="A16" s="35" t="s">
        <v>414</v>
      </c>
      <c r="B16" s="36"/>
      <c r="C16" s="36"/>
      <c r="D16" s="36"/>
      <c r="E16" s="36"/>
      <c r="F16" s="36"/>
      <c r="G16" s="36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57.75" customHeight="1">
      <c r="A17" s="35" t="s">
        <v>415</v>
      </c>
      <c r="B17" s="36"/>
      <c r="C17" s="36"/>
      <c r="D17" s="36"/>
      <c r="E17" s="36"/>
      <c r="F17" s="36"/>
      <c r="G17" s="36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57.75" customHeight="1">
      <c r="A18" s="35" t="s">
        <v>416</v>
      </c>
      <c r="B18" s="36"/>
      <c r="C18" s="36"/>
      <c r="D18" s="36"/>
      <c r="E18" s="36"/>
      <c r="F18" s="36"/>
      <c r="G18" s="36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57.75" customHeight="1">
      <c r="A19" s="35" t="s">
        <v>417</v>
      </c>
      <c r="B19" s="36"/>
      <c r="C19" s="36"/>
      <c r="D19" s="36"/>
      <c r="E19" s="36"/>
      <c r="F19" s="36"/>
      <c r="G19" s="36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57.75" customHeight="1">
      <c r="A20" s="35" t="s">
        <v>418</v>
      </c>
      <c r="B20" s="36"/>
      <c r="C20" s="36"/>
      <c r="D20" s="36"/>
      <c r="E20" s="36"/>
      <c r="F20" s="36"/>
      <c r="G20" s="36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57.75" customHeight="1">
      <c r="A21" s="35" t="s">
        <v>419</v>
      </c>
      <c r="B21" s="36"/>
      <c r="C21" s="36"/>
      <c r="D21" s="36"/>
      <c r="E21" s="36"/>
      <c r="F21" s="36"/>
      <c r="G21" s="36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57.75" customHeight="1">
      <c r="A22" s="35" t="s">
        <v>420</v>
      </c>
      <c r="B22" s="36"/>
      <c r="C22" s="36"/>
      <c r="D22" s="36"/>
      <c r="E22" s="36"/>
      <c r="F22" s="36"/>
      <c r="G22" s="36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57.75" customHeight="1">
      <c r="A23" s="35" t="s">
        <v>421</v>
      </c>
      <c r="B23" s="36"/>
      <c r="C23" s="36"/>
      <c r="D23" s="36"/>
      <c r="E23" s="36"/>
      <c r="F23" s="36"/>
      <c r="G23" s="36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57.75" customHeight="1">
      <c r="A24" s="35" t="s">
        <v>422</v>
      </c>
      <c r="B24" s="36"/>
      <c r="C24" s="36"/>
      <c r="D24" s="36"/>
      <c r="E24" s="36"/>
      <c r="F24" s="36"/>
      <c r="G24" s="36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57.75" customHeight="1">
      <c r="A25" s="35" t="s">
        <v>423</v>
      </c>
      <c r="B25" s="36"/>
      <c r="C25" s="36"/>
      <c r="D25" s="36"/>
      <c r="E25" s="36"/>
      <c r="F25" s="36"/>
      <c r="G25" s="36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57.75" customHeight="1">
      <c r="A26" s="35" t="s">
        <v>424</v>
      </c>
      <c r="B26" s="36"/>
      <c r="C26" s="36"/>
      <c r="D26" s="36"/>
      <c r="E26" s="36"/>
      <c r="F26" s="36"/>
      <c r="G26" s="36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57.75" customHeight="1">
      <c r="A27" s="35" t="s">
        <v>425</v>
      </c>
      <c r="B27" s="36"/>
      <c r="C27" s="36"/>
      <c r="D27" s="36"/>
      <c r="E27" s="36"/>
      <c r="F27" s="36"/>
      <c r="G27" s="36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57.75" customHeight="1">
      <c r="A28" s="35" t="s">
        <v>426</v>
      </c>
      <c r="B28" s="36"/>
      <c r="C28" s="36"/>
      <c r="D28" s="36"/>
      <c r="E28" s="36"/>
      <c r="F28" s="36"/>
      <c r="G28" s="36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57.75" customHeight="1">
      <c r="A29" s="35" t="s">
        <v>427</v>
      </c>
      <c r="B29" s="36"/>
      <c r="C29" s="36"/>
      <c r="D29" s="36"/>
      <c r="E29" s="36"/>
      <c r="F29" s="36"/>
      <c r="G29" s="36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57.75" customHeight="1">
      <c r="A30" s="35" t="s">
        <v>428</v>
      </c>
      <c r="B30" s="36"/>
      <c r="C30" s="36"/>
      <c r="D30" s="36"/>
      <c r="E30" s="36"/>
      <c r="F30" s="36"/>
      <c r="G30" s="36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57.75" customHeight="1">
      <c r="A31" s="35" t="s">
        <v>429</v>
      </c>
      <c r="B31" s="36"/>
      <c r="C31" s="36"/>
      <c r="D31" s="36"/>
      <c r="E31" s="36"/>
      <c r="F31" s="36"/>
      <c r="G31" s="36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57.75" customHeight="1">
      <c r="A32" s="35" t="s">
        <v>430</v>
      </c>
      <c r="B32" s="36"/>
      <c r="C32" s="36"/>
      <c r="D32" s="36"/>
      <c r="E32" s="36"/>
      <c r="F32" s="36"/>
      <c r="G32" s="36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57.75" customHeight="1">
      <c r="A33" s="35" t="s">
        <v>431</v>
      </c>
      <c r="B33" s="36"/>
      <c r="C33" s="36"/>
      <c r="D33" s="36"/>
      <c r="E33" s="36"/>
      <c r="F33" s="36"/>
      <c r="G33" s="36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57.75" customHeight="1">
      <c r="A34" s="35" t="s">
        <v>432</v>
      </c>
      <c r="B34" s="36"/>
      <c r="C34" s="36"/>
      <c r="D34" s="36"/>
      <c r="E34" s="36"/>
      <c r="F34" s="36"/>
      <c r="G34" s="36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57.75" customHeight="1">
      <c r="A35" s="35" t="s">
        <v>433</v>
      </c>
      <c r="B35" s="36"/>
      <c r="C35" s="36"/>
      <c r="D35" s="36"/>
      <c r="E35" s="36"/>
      <c r="F35" s="36"/>
      <c r="G35" s="36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57.75" customHeight="1">
      <c r="A36" s="35" t="s">
        <v>434</v>
      </c>
      <c r="B36" s="36"/>
      <c r="C36" s="36"/>
      <c r="D36" s="36"/>
      <c r="E36" s="36"/>
      <c r="F36" s="36"/>
      <c r="G36" s="36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57.75" customHeight="1">
      <c r="A37" s="35" t="s">
        <v>435</v>
      </c>
      <c r="B37" s="36"/>
      <c r="C37" s="36"/>
      <c r="D37" s="36"/>
      <c r="E37" s="36"/>
      <c r="F37" s="36"/>
      <c r="G37" s="36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57.75" customHeight="1">
      <c r="A38" s="35" t="s">
        <v>436</v>
      </c>
      <c r="B38" s="36"/>
      <c r="C38" s="36"/>
      <c r="D38" s="36"/>
      <c r="E38" s="36"/>
      <c r="F38" s="36"/>
      <c r="G38" s="36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57.75" customHeight="1">
      <c r="A39" s="35" t="s">
        <v>437</v>
      </c>
      <c r="B39" s="36"/>
      <c r="C39" s="36"/>
      <c r="D39" s="36"/>
      <c r="E39" s="36"/>
      <c r="F39" s="36"/>
      <c r="G39" s="36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57.75" customHeight="1">
      <c r="A40" s="35" t="s">
        <v>438</v>
      </c>
      <c r="B40" s="36"/>
      <c r="C40" s="36"/>
      <c r="D40" s="36"/>
      <c r="E40" s="36"/>
      <c r="F40" s="36"/>
      <c r="G40" s="36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57.75" customHeight="1">
      <c r="A41" s="35" t="s">
        <v>439</v>
      </c>
      <c r="B41" s="36"/>
      <c r="C41" s="36"/>
      <c r="D41" s="36"/>
      <c r="E41" s="36"/>
      <c r="F41" s="36"/>
      <c r="G41" s="36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57.75" customHeight="1">
      <c r="A42" s="35" t="s">
        <v>440</v>
      </c>
      <c r="B42" s="36"/>
      <c r="C42" s="36"/>
      <c r="D42" s="36"/>
      <c r="E42" s="36"/>
      <c r="F42" s="36"/>
      <c r="G42" s="36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57.75" customHeight="1">
      <c r="A43" s="35" t="s">
        <v>441</v>
      </c>
      <c r="B43" s="36"/>
      <c r="C43" s="36"/>
      <c r="D43" s="36"/>
      <c r="E43" s="36"/>
      <c r="F43" s="36"/>
      <c r="G43" s="36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57.75" customHeight="1">
      <c r="A44" s="35" t="s">
        <v>442</v>
      </c>
      <c r="B44" s="36"/>
      <c r="C44" s="36"/>
      <c r="D44" s="36"/>
      <c r="E44" s="36"/>
      <c r="F44" s="36"/>
      <c r="G44" s="36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57.75" customHeight="1">
      <c r="A45" s="35" t="s">
        <v>443</v>
      </c>
      <c r="B45" s="36"/>
      <c r="C45" s="36"/>
      <c r="D45" s="36"/>
      <c r="E45" s="36"/>
      <c r="F45" s="36"/>
      <c r="G45" s="36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autoFilter ref="$A$5:$G$45"/>
  <mergeCells count="2">
    <mergeCell ref="A1:G1"/>
    <mergeCell ref="A2:G2"/>
  </mergeCells>
  <conditionalFormatting sqref="F6:F45">
    <cfRule type="expression" dxfId="7" priority="1">
      <formula>F6="Crítica"</formula>
    </cfRule>
  </conditionalFormatting>
  <conditionalFormatting sqref="F6:F45">
    <cfRule type="expression" dxfId="8" priority="2">
      <formula>F6="Alta"</formula>
    </cfRule>
  </conditionalFormatting>
  <conditionalFormatting sqref="F6:F45">
    <cfRule type="expression" dxfId="2" priority="3">
      <formula>F6="Media"</formula>
    </cfRule>
  </conditionalFormatting>
  <conditionalFormatting sqref="F6:F45">
    <cfRule type="expression" dxfId="9" priority="4">
      <formula>F6="Baja"</formula>
    </cfRule>
  </conditionalFormatting>
  <hyperlinks>
    <hyperlink r:id="rId1" ref="G6"/>
    <hyperlink r:id="rId2" ref="G7"/>
    <hyperlink r:id="rId3" ref="G8"/>
  </hyperlinks>
  <printOptions/>
  <pageMargins bottom="1.0" footer="0.0" header="0.0" left="0.75" right="0.75" top="1.0"/>
  <pageSetup fitToHeight="0" paperSize="8" orientation="landscape"/>
  <headerFooter>
    <oddFooter>&amp;CUrban Grocers API Testing Project&amp;RPage &amp;P of </oddFooter>
  </headerFooter>
  <drawing r:id="rId4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0" width="8.71"/>
  </cols>
  <sheetData>
    <row r="1">
      <c r="A1" s="76" t="s">
        <v>444</v>
      </c>
      <c r="B1" s="76" t="s">
        <v>445</v>
      </c>
      <c r="C1" s="76" t="s">
        <v>446</v>
      </c>
      <c r="D1" s="76" t="s">
        <v>447</v>
      </c>
      <c r="E1" s="76" t="s">
        <v>448</v>
      </c>
      <c r="F1" s="76" t="s">
        <v>15</v>
      </c>
      <c r="G1" s="76" t="s">
        <v>449</v>
      </c>
      <c r="H1" s="76" t="s">
        <v>450</v>
      </c>
      <c r="I1" s="76" t="s">
        <v>451</v>
      </c>
      <c r="J1" s="76" t="s">
        <v>452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76" t="s">
        <v>453</v>
      </c>
      <c r="B2" s="76" t="s">
        <v>454</v>
      </c>
      <c r="C2" s="76" t="s">
        <v>455</v>
      </c>
      <c r="D2" s="76" t="s">
        <v>456</v>
      </c>
      <c r="E2" s="76" t="s">
        <v>457</v>
      </c>
      <c r="F2" s="76" t="s">
        <v>457</v>
      </c>
      <c r="G2" s="76" t="s">
        <v>458</v>
      </c>
      <c r="H2" s="76" t="s">
        <v>459</v>
      </c>
      <c r="I2" s="76" t="s">
        <v>460</v>
      </c>
      <c r="J2" s="76" t="s">
        <v>461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76" t="s">
        <v>462</v>
      </c>
      <c r="B3" s="76" t="s">
        <v>463</v>
      </c>
      <c r="C3" s="76" t="s">
        <v>464</v>
      </c>
      <c r="D3" s="76" t="s">
        <v>465</v>
      </c>
      <c r="E3" s="76" t="s">
        <v>466</v>
      </c>
      <c r="F3" s="76" t="s">
        <v>466</v>
      </c>
      <c r="G3" s="76" t="s">
        <v>467</v>
      </c>
      <c r="H3" s="4"/>
      <c r="I3" s="4"/>
      <c r="J3" s="76" t="s">
        <v>468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76" t="s">
        <v>469</v>
      </c>
      <c r="B4" s="4"/>
      <c r="C4" s="76" t="s">
        <v>470</v>
      </c>
      <c r="D4" s="76" t="s">
        <v>471</v>
      </c>
      <c r="E4" s="76" t="s">
        <v>472</v>
      </c>
      <c r="F4" s="76" t="s">
        <v>472</v>
      </c>
      <c r="G4" s="76" t="s">
        <v>473</v>
      </c>
      <c r="H4" s="4"/>
      <c r="I4" s="4"/>
      <c r="J4" s="76" t="s">
        <v>474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/>
      <c r="B5" s="4"/>
      <c r="C5" s="76" t="s">
        <v>475</v>
      </c>
      <c r="D5" s="76" t="s">
        <v>476</v>
      </c>
      <c r="E5" s="76" t="s">
        <v>477</v>
      </c>
      <c r="F5" s="76" t="s">
        <v>477</v>
      </c>
      <c r="G5" s="76" t="s">
        <v>478</v>
      </c>
      <c r="H5" s="4"/>
      <c r="I5" s="4"/>
      <c r="J5" s="76" t="s">
        <v>479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4"/>
      <c r="C6" s="76" t="s">
        <v>480</v>
      </c>
      <c r="D6" s="76" t="s">
        <v>481</v>
      </c>
      <c r="E6" s="4"/>
      <c r="F6" s="4"/>
      <c r="G6" s="76" t="s">
        <v>482</v>
      </c>
      <c r="H6" s="4"/>
      <c r="I6" s="4"/>
      <c r="J6" s="76" t="s">
        <v>483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4"/>
      <c r="C7" s="76" t="s">
        <v>484</v>
      </c>
      <c r="D7" s="4"/>
      <c r="E7" s="4"/>
      <c r="F7" s="4"/>
      <c r="G7" s="76" t="s">
        <v>485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76" t="s">
        <v>486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1.0" footer="0.0" header="0.0" left="0.75" right="0.75" top="1.0"/>
  <pageSetup orientation="landscape"/>
  <drawing r:id="rId1"/>
</worksheet>
</file>